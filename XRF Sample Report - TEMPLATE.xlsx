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4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5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8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9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2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3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6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7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30.xml" ContentType="application/vnd.openxmlformats-officedocument.drawingml.chartshapes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31.xml" ContentType="application/vnd.openxmlformats-officedocument.drawingml.chartshapes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34.xml" ContentType="application/vnd.openxmlformats-officedocument.drawingml.chartshape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35.xml" ContentType="application/vnd.openxmlformats-officedocument.drawingml.chartshape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38.xml" ContentType="application/vnd.openxmlformats-officedocument.drawingml.chartshapes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9.xml" ContentType="application/vnd.openxmlformats-officedocument.drawingml.chartshapes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40.xml" ContentType="application/vnd.openxmlformats-officedocument.drawingml.chartshapes+xml"/>
  <Override PartName="/xl/drawings/drawing41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42.xml" ContentType="application/vnd.openxmlformats-officedocument.drawingml.chartshapes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43.xml" ContentType="application/vnd.openxmlformats-officedocument.drawingml.chartshapes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46.xml" ContentType="application/vnd.openxmlformats-officedocument.drawingml.chartshapes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47.xml" ContentType="application/vnd.openxmlformats-officedocument.drawingml.chartshapes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48.xml" ContentType="application/vnd.openxmlformats-officedocument.drawingml.chartshapes+xml"/>
  <Override PartName="/xl/drawings/drawing4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50.xml" ContentType="application/vnd.openxmlformats-officedocument.drawingml.chartshapes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51.xml" ContentType="application/vnd.openxmlformats-officedocument.drawingml.chartshapes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52.xml" ContentType="application/vnd.openxmlformats-officedocument.drawingml.chartshapes+xml"/>
  <Override PartName="/xl/drawings/drawing53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54.xml" ContentType="application/vnd.openxmlformats-officedocument.drawingml.chartshapes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55.xml" ContentType="application/vnd.openxmlformats-officedocument.drawingml.chartshapes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56.xml" ContentType="application/vnd.openxmlformats-officedocument.drawingml.chartshapes+xml"/>
  <Override PartName="/xl/drawings/drawing57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58.xml" ContentType="application/vnd.openxmlformats-officedocument.drawingml.chartshapes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59.xml" ContentType="application/vnd.openxmlformats-officedocument.drawingml.chartshapes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60.xml" ContentType="application/vnd.openxmlformats-officedocument.drawingml.chartshapes+xml"/>
  <Override PartName="/xl/drawings/drawing61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62.xml" ContentType="application/vnd.openxmlformats-officedocument.drawingml.chartshapes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63.xml" ContentType="application/vnd.openxmlformats-officedocument.drawingml.chartshapes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64.xml" ContentType="application/vnd.openxmlformats-officedocument.drawingml.chartshapes+xml"/>
  <Override PartName="/xl/drawings/drawing65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66.xml" ContentType="application/vnd.openxmlformats-officedocument.drawingml.chartshapes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67.xml" ContentType="application/vnd.openxmlformats-officedocument.drawingml.chartshapes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68.xml" ContentType="application/vnd.openxmlformats-officedocument.drawingml.chartshapes+xml"/>
  <Override PartName="/xl/drawings/drawing69.xml" ContentType="application/vnd.openxmlformats-officedocument.drawing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70.xml" ContentType="application/vnd.openxmlformats-officedocument.drawingml.chartshapes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71.xml" ContentType="application/vnd.openxmlformats-officedocument.drawingml.chartshapes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7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ant/Documents/Software/xrf_uploader/Excel Files/"/>
    </mc:Choice>
  </mc:AlternateContent>
  <xr:revisionPtr revIDLastSave="0" documentId="13_ncr:1_{AD65C564-2FC3-2C47-BBEA-9806DA21B008}" xr6:coauthVersionLast="47" xr6:coauthVersionMax="47" xr10:uidLastSave="{00000000-0000-0000-0000-000000000000}"/>
  <bookViews>
    <workbookView xWindow="0" yWindow="660" windowWidth="34560" windowHeight="21680" xr2:uid="{53D5ED4A-3F71-43C7-9197-D21C62862B23}"/>
  </bookViews>
  <sheets>
    <sheet name="Samdat" sheetId="47" r:id="rId1"/>
    <sheet name="Caldat" sheetId="46" r:id="rId2"/>
    <sheet name="K" sheetId="2" r:id="rId3"/>
    <sheet name="Ca" sheetId="3" r:id="rId4"/>
    <sheet name="V" sheetId="48" r:id="rId5"/>
    <sheet name="Cr" sheetId="50" r:id="rId6"/>
    <sheet name="Mn" sheetId="51" r:id="rId7"/>
    <sheet name="Fe" sheetId="52" r:id="rId8"/>
    <sheet name="Co" sheetId="53" r:id="rId9"/>
    <sheet name="Ni" sheetId="54" r:id="rId10"/>
    <sheet name="Cu" sheetId="55" r:id="rId11"/>
    <sheet name="Zn" sheetId="56" r:id="rId12"/>
    <sheet name="Ga" sheetId="57" r:id="rId13"/>
    <sheet name="Rb" sheetId="58" r:id="rId14"/>
    <sheet name="Sr" sheetId="59" r:id="rId15"/>
    <sheet name="Mo" sheetId="60" r:id="rId16"/>
    <sheet name="Cd" sheetId="61" r:id="rId17"/>
    <sheet name="Tl" sheetId="62" r:id="rId18"/>
    <sheet name="Pb" sheetId="63" r:id="rId19"/>
    <sheet name="Bi" sheetId="64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5" i="47" l="1"/>
  <c r="N34" i="47"/>
  <c r="N33" i="47"/>
  <c r="N32" i="47"/>
  <c r="N31" i="47"/>
  <c r="N30" i="47"/>
  <c r="N29" i="47"/>
  <c r="N28" i="47"/>
  <c r="N27" i="47"/>
  <c r="N26" i="47"/>
  <c r="N25" i="47"/>
  <c r="N24" i="47"/>
  <c r="N23" i="47"/>
  <c r="N22" i="47"/>
  <c r="N21" i="47"/>
  <c r="N20" i="47"/>
  <c r="N19" i="47"/>
  <c r="N18" i="47"/>
  <c r="N17" i="47"/>
  <c r="N16" i="47"/>
  <c r="N15" i="47"/>
  <c r="N14" i="47"/>
  <c r="N13" i="47"/>
  <c r="N12" i="47"/>
  <c r="N11" i="47"/>
  <c r="N10" i="47"/>
  <c r="N9" i="47"/>
  <c r="N8" i="47"/>
  <c r="N7" i="47"/>
  <c r="N6" i="47"/>
  <c r="N5" i="47"/>
  <c r="N4" i="47"/>
  <c r="M3" i="60"/>
  <c r="K26" i="47"/>
  <c r="L26" i="47"/>
  <c r="K27" i="47"/>
  <c r="L27" i="47"/>
  <c r="K28" i="47"/>
  <c r="L28" i="47"/>
  <c r="K29" i="47"/>
  <c r="L29" i="47"/>
  <c r="K30" i="47"/>
  <c r="L30" i="47"/>
  <c r="K31" i="47"/>
  <c r="L31" i="47"/>
  <c r="K32" i="47"/>
  <c r="L32" i="47"/>
  <c r="K33" i="47"/>
  <c r="L33" i="47"/>
  <c r="K34" i="47"/>
  <c r="L34" i="47"/>
  <c r="K35" i="47"/>
  <c r="L35" i="47"/>
  <c r="M3" i="2"/>
  <c r="M3" i="64"/>
  <c r="M3" i="63"/>
  <c r="M3" i="62"/>
  <c r="M3" i="61"/>
  <c r="M3" i="59"/>
  <c r="M3" i="58"/>
  <c r="M3" i="57"/>
  <c r="M3" i="56"/>
  <c r="M3" i="55"/>
  <c r="M3" i="54"/>
  <c r="M3" i="53"/>
  <c r="M3" i="52"/>
  <c r="M3" i="51"/>
  <c r="M3" i="50"/>
  <c r="M3" i="48"/>
  <c r="M3" i="3"/>
  <c r="L24" i="47" l="1"/>
  <c r="L19" i="47"/>
  <c r="K25" i="47"/>
  <c r="K24" i="47"/>
  <c r="L18" i="47"/>
  <c r="K23" i="47"/>
  <c r="L10" i="47"/>
  <c r="K22" i="47"/>
  <c r="L23" i="47"/>
  <c r="K21" i="47"/>
  <c r="L15" i="47"/>
  <c r="K20" i="47"/>
  <c r="L4" i="47"/>
  <c r="K19" i="47"/>
  <c r="L7" i="47"/>
  <c r="K18" i="47"/>
  <c r="L13" i="47"/>
  <c r="K17" i="47"/>
  <c r="L25" i="47"/>
  <c r="K16" i="47"/>
  <c r="L16" i="47"/>
  <c r="K15" i="47"/>
  <c r="L12" i="47"/>
  <c r="K14" i="47"/>
  <c r="L21" i="47"/>
  <c r="K13" i="47"/>
  <c r="L11" i="47"/>
  <c r="K12" i="47"/>
  <c r="L6" i="47"/>
  <c r="K11" i="47"/>
  <c r="L20" i="47"/>
  <c r="K10" i="47"/>
  <c r="L17" i="47"/>
  <c r="K9" i="47"/>
  <c r="L9" i="47"/>
  <c r="K8" i="47"/>
  <c r="L22" i="47"/>
  <c r="K7" i="47"/>
  <c r="L14" i="47"/>
  <c r="K6" i="47"/>
  <c r="L5" i="47"/>
  <c r="K5" i="47"/>
  <c r="L8" i="47"/>
  <c r="K4" i="47"/>
  <c r="E21" i="47"/>
  <c r="E20" i="47"/>
  <c r="E19" i="47"/>
  <c r="E18" i="47"/>
  <c r="E17" i="47"/>
  <c r="E16" i="47"/>
  <c r="E15" i="47"/>
  <c r="E14" i="47"/>
  <c r="E13" i="47"/>
  <c r="E12" i="47"/>
  <c r="E11" i="47"/>
  <c r="E10" i="47"/>
  <c r="E9" i="47"/>
  <c r="E8" i="47"/>
  <c r="E7" i="47"/>
  <c r="E6" i="47"/>
  <c r="E5" i="47"/>
  <c r="E4" i="47"/>
  <c r="H8" i="64"/>
  <c r="G8" i="64"/>
  <c r="H7" i="64"/>
  <c r="G7" i="64"/>
  <c r="H6" i="64"/>
  <c r="G6" i="64"/>
  <c r="H5" i="64"/>
  <c r="G5" i="64"/>
  <c r="B5" i="64"/>
  <c r="B6" i="64" s="1"/>
  <c r="H4" i="64"/>
  <c r="G4" i="64"/>
  <c r="H3" i="64"/>
  <c r="G3" i="64"/>
  <c r="H2" i="64"/>
  <c r="G2" i="64"/>
  <c r="H1" i="64"/>
  <c r="G1" i="64"/>
  <c r="H8" i="63"/>
  <c r="G8" i="63"/>
  <c r="H7" i="63"/>
  <c r="G7" i="63"/>
  <c r="H6" i="63"/>
  <c r="G6" i="63"/>
  <c r="H5" i="63"/>
  <c r="G5" i="63"/>
  <c r="B5" i="63"/>
  <c r="B6" i="63" s="1"/>
  <c r="H4" i="63"/>
  <c r="G4" i="63"/>
  <c r="H3" i="63"/>
  <c r="G3" i="63"/>
  <c r="H2" i="63"/>
  <c r="G2" i="63"/>
  <c r="H1" i="63"/>
  <c r="G1" i="63"/>
  <c r="H8" i="62"/>
  <c r="G8" i="62"/>
  <c r="H7" i="62"/>
  <c r="G7" i="62"/>
  <c r="H6" i="62"/>
  <c r="G6" i="62"/>
  <c r="H5" i="62"/>
  <c r="G5" i="62"/>
  <c r="B5" i="62"/>
  <c r="B6" i="62" s="1"/>
  <c r="H4" i="62"/>
  <c r="G4" i="62"/>
  <c r="H3" i="62"/>
  <c r="G3" i="62"/>
  <c r="H2" i="62"/>
  <c r="G2" i="62"/>
  <c r="H1" i="62"/>
  <c r="G1" i="62"/>
  <c r="H4" i="61"/>
  <c r="H3" i="61"/>
  <c r="H8" i="61"/>
  <c r="G8" i="61"/>
  <c r="H7" i="61"/>
  <c r="G7" i="61"/>
  <c r="H6" i="61"/>
  <c r="G6" i="61"/>
  <c r="H5" i="61"/>
  <c r="G5" i="61"/>
  <c r="B5" i="61"/>
  <c r="B6" i="61" s="1"/>
  <c r="G4" i="61"/>
  <c r="R3" i="61"/>
  <c r="G3" i="61"/>
  <c r="H2" i="61"/>
  <c r="G2" i="61"/>
  <c r="H1" i="61"/>
  <c r="G1" i="61"/>
  <c r="M6" i="61"/>
  <c r="M4" i="61"/>
  <c r="M2" i="64" a="1"/>
  <c r="M2" i="62" a="1"/>
  <c r="R6" i="62"/>
  <c r="R2" i="63" a="1"/>
  <c r="M6" i="64"/>
  <c r="R5" i="62"/>
  <c r="M4" i="64"/>
  <c r="R4" i="62"/>
  <c r="R1" i="61" a="1"/>
  <c r="R4" i="64"/>
  <c r="R6" i="64"/>
  <c r="M2" i="63" a="1"/>
  <c r="R2" i="64" a="1"/>
  <c r="M6" i="62"/>
  <c r="R1" i="63" a="1"/>
  <c r="R4" i="63"/>
  <c r="R2" i="62" a="1"/>
  <c r="M4" i="62"/>
  <c r="M2" i="61" a="1"/>
  <c r="R4" i="61"/>
  <c r="M1" i="64" a="1"/>
  <c r="R1" i="64" a="1"/>
  <c r="M4" i="63"/>
  <c r="M5" i="64"/>
  <c r="M1" i="62" a="1"/>
  <c r="M1" i="61" a="1"/>
  <c r="M5" i="61"/>
  <c r="R5" i="61"/>
  <c r="M5" i="62"/>
  <c r="R1" i="62" a="1"/>
  <c r="M5" i="63"/>
  <c r="R5" i="64"/>
  <c r="R6" i="63"/>
  <c r="M6" i="63"/>
  <c r="R2" i="61" a="1"/>
  <c r="R6" i="61"/>
  <c r="M1" i="63" a="1"/>
  <c r="R5" i="63"/>
  <c r="M2" i="64" l="1"/>
  <c r="M1" i="64"/>
  <c r="M7" i="64"/>
  <c r="R2" i="64"/>
  <c r="R1" i="64"/>
  <c r="R3" i="64"/>
  <c r="R7" i="64" s="1"/>
  <c r="M2" i="63"/>
  <c r="R2" i="63"/>
  <c r="M1" i="63"/>
  <c r="R1" i="63"/>
  <c r="R3" i="63"/>
  <c r="R7" i="63" s="1"/>
  <c r="M7" i="63"/>
  <c r="R2" i="62"/>
  <c r="R1" i="62"/>
  <c r="M2" i="62"/>
  <c r="M1" i="62"/>
  <c r="M7" i="62"/>
  <c r="R3" i="62"/>
  <c r="R7" i="62" s="1"/>
  <c r="R2" i="61"/>
  <c r="M1" i="61"/>
  <c r="R1" i="61"/>
  <c r="M7" i="61"/>
  <c r="M2" i="61"/>
  <c r="R7" i="61"/>
  <c r="H3" i="60"/>
  <c r="H8" i="60"/>
  <c r="G8" i="60"/>
  <c r="H7" i="60"/>
  <c r="G7" i="60"/>
  <c r="H6" i="60"/>
  <c r="G6" i="60"/>
  <c r="H5" i="60"/>
  <c r="G5" i="60"/>
  <c r="B5" i="60"/>
  <c r="B6" i="60" s="1"/>
  <c r="H4" i="60"/>
  <c r="G4" i="60"/>
  <c r="G3" i="60"/>
  <c r="H2" i="60"/>
  <c r="G2" i="60"/>
  <c r="H1" i="60"/>
  <c r="G1" i="60"/>
  <c r="H8" i="59"/>
  <c r="G8" i="59"/>
  <c r="H7" i="59"/>
  <c r="G7" i="59"/>
  <c r="H6" i="59"/>
  <c r="G6" i="59"/>
  <c r="H5" i="59"/>
  <c r="G5" i="59"/>
  <c r="B5" i="59"/>
  <c r="B6" i="59" s="1"/>
  <c r="H4" i="59"/>
  <c r="G4" i="59"/>
  <c r="R3" i="59"/>
  <c r="H3" i="59"/>
  <c r="G3" i="59"/>
  <c r="H2" i="59"/>
  <c r="G2" i="59"/>
  <c r="H1" i="59"/>
  <c r="G1" i="59"/>
  <c r="H8" i="58"/>
  <c r="G8" i="58"/>
  <c r="H7" i="58"/>
  <c r="G7" i="58"/>
  <c r="H6" i="58"/>
  <c r="G6" i="58"/>
  <c r="H5" i="58"/>
  <c r="G5" i="58"/>
  <c r="B5" i="58"/>
  <c r="B6" i="58" s="1"/>
  <c r="H4" i="58"/>
  <c r="G4" i="58"/>
  <c r="H3" i="58"/>
  <c r="G3" i="58"/>
  <c r="H2" i="58"/>
  <c r="G2" i="58"/>
  <c r="H1" i="58"/>
  <c r="G1" i="58"/>
  <c r="H8" i="57"/>
  <c r="G8" i="57"/>
  <c r="H7" i="57"/>
  <c r="G7" i="57"/>
  <c r="H6" i="57"/>
  <c r="G6" i="57"/>
  <c r="H5" i="57"/>
  <c r="G5" i="57"/>
  <c r="B5" i="57"/>
  <c r="B6" i="57" s="1"/>
  <c r="H4" i="57"/>
  <c r="G4" i="57"/>
  <c r="H3" i="57"/>
  <c r="G3" i="57"/>
  <c r="H2" i="57"/>
  <c r="G2" i="57"/>
  <c r="H1" i="57"/>
  <c r="G1" i="57"/>
  <c r="H8" i="56"/>
  <c r="G8" i="56"/>
  <c r="H7" i="56"/>
  <c r="G7" i="56"/>
  <c r="H6" i="56"/>
  <c r="G6" i="56"/>
  <c r="H5" i="56"/>
  <c r="G5" i="56"/>
  <c r="B5" i="56"/>
  <c r="B6" i="56" s="1"/>
  <c r="H4" i="56"/>
  <c r="G4" i="56"/>
  <c r="H3" i="56"/>
  <c r="G3" i="56"/>
  <c r="H2" i="56"/>
  <c r="G2" i="56"/>
  <c r="H1" i="56"/>
  <c r="G1" i="56"/>
  <c r="H8" i="55"/>
  <c r="G8" i="55"/>
  <c r="H7" i="55"/>
  <c r="G7" i="55"/>
  <c r="H6" i="55"/>
  <c r="G6" i="55"/>
  <c r="H5" i="55"/>
  <c r="G5" i="55"/>
  <c r="B5" i="55"/>
  <c r="B6" i="55" s="1"/>
  <c r="H4" i="55"/>
  <c r="G4" i="55"/>
  <c r="R3" i="55"/>
  <c r="H3" i="55"/>
  <c r="G3" i="55"/>
  <c r="H2" i="55"/>
  <c r="G2" i="55"/>
  <c r="H1" i="55"/>
  <c r="G1" i="55"/>
  <c r="H8" i="54"/>
  <c r="G8" i="54"/>
  <c r="H7" i="54"/>
  <c r="G7" i="54"/>
  <c r="H6" i="54"/>
  <c r="G6" i="54"/>
  <c r="H5" i="54"/>
  <c r="G5" i="54"/>
  <c r="B5" i="54"/>
  <c r="B6" i="54" s="1"/>
  <c r="H4" i="54"/>
  <c r="G4" i="54"/>
  <c r="H3" i="54"/>
  <c r="G3" i="54"/>
  <c r="H2" i="54"/>
  <c r="G2" i="54"/>
  <c r="H1" i="54"/>
  <c r="G1" i="54"/>
  <c r="H8" i="53"/>
  <c r="G8" i="53"/>
  <c r="H7" i="53"/>
  <c r="G7" i="53"/>
  <c r="H6" i="53"/>
  <c r="G6" i="53"/>
  <c r="H5" i="53"/>
  <c r="G5" i="53"/>
  <c r="B5" i="53"/>
  <c r="B6" i="53" s="1"/>
  <c r="H4" i="53"/>
  <c r="G4" i="53"/>
  <c r="H3" i="53"/>
  <c r="G3" i="53"/>
  <c r="H2" i="53"/>
  <c r="G2" i="53"/>
  <c r="H1" i="53"/>
  <c r="G1" i="53"/>
  <c r="H8" i="52"/>
  <c r="G8" i="52"/>
  <c r="H7" i="52"/>
  <c r="G7" i="52"/>
  <c r="H6" i="52"/>
  <c r="G6" i="52"/>
  <c r="H5" i="52"/>
  <c r="G5" i="52"/>
  <c r="B5" i="52"/>
  <c r="B6" i="52" s="1"/>
  <c r="H4" i="52"/>
  <c r="G4" i="52"/>
  <c r="H3" i="52"/>
  <c r="G3" i="52"/>
  <c r="H2" i="52"/>
  <c r="G2" i="52"/>
  <c r="H1" i="52"/>
  <c r="G1" i="52"/>
  <c r="H8" i="51"/>
  <c r="G8" i="51"/>
  <c r="H7" i="51"/>
  <c r="G7" i="51"/>
  <c r="H6" i="51"/>
  <c r="G6" i="51"/>
  <c r="H5" i="51"/>
  <c r="G5" i="51"/>
  <c r="H4" i="51"/>
  <c r="G4" i="51"/>
  <c r="H3" i="51"/>
  <c r="G3" i="51"/>
  <c r="H2" i="51"/>
  <c r="G2" i="51"/>
  <c r="B5" i="51"/>
  <c r="B6" i="51" s="1"/>
  <c r="H1" i="51"/>
  <c r="G1" i="51"/>
  <c r="H8" i="50"/>
  <c r="G8" i="50"/>
  <c r="H7" i="50"/>
  <c r="G7" i="50"/>
  <c r="H6" i="50"/>
  <c r="G6" i="50"/>
  <c r="H5" i="50"/>
  <c r="G5" i="50"/>
  <c r="B5" i="50"/>
  <c r="B6" i="50" s="1"/>
  <c r="H4" i="50"/>
  <c r="G4" i="50"/>
  <c r="H3" i="50"/>
  <c r="G3" i="50"/>
  <c r="H2" i="50"/>
  <c r="G2" i="50"/>
  <c r="H1" i="50"/>
  <c r="G1" i="50"/>
  <c r="R3" i="3"/>
  <c r="H2" i="48"/>
  <c r="H2" i="3"/>
  <c r="H2" i="2"/>
  <c r="H8" i="48"/>
  <c r="G8" i="48"/>
  <c r="H7" i="48"/>
  <c r="G7" i="48"/>
  <c r="H6" i="48"/>
  <c r="G6" i="48"/>
  <c r="H5" i="48"/>
  <c r="G5" i="48"/>
  <c r="B5" i="48"/>
  <c r="B6" i="48" s="1"/>
  <c r="H4" i="48"/>
  <c r="G4" i="48"/>
  <c r="H3" i="48"/>
  <c r="G3" i="48"/>
  <c r="G2" i="48"/>
  <c r="H1" i="48"/>
  <c r="G1" i="48"/>
  <c r="H8" i="3"/>
  <c r="G8" i="3"/>
  <c r="H7" i="3"/>
  <c r="G7" i="3"/>
  <c r="H6" i="3"/>
  <c r="G6" i="3"/>
  <c r="H5" i="3"/>
  <c r="G5" i="3"/>
  <c r="B5" i="3"/>
  <c r="B6" i="3" s="1"/>
  <c r="H4" i="3"/>
  <c r="G4" i="3"/>
  <c r="H3" i="3"/>
  <c r="G3" i="3"/>
  <c r="G2" i="3"/>
  <c r="H1" i="3"/>
  <c r="G1" i="3"/>
  <c r="B5" i="2"/>
  <c r="B6" i="2" s="1"/>
  <c r="D21" i="47"/>
  <c r="D20" i="47"/>
  <c r="D19" i="47"/>
  <c r="D18" i="47"/>
  <c r="D17" i="47"/>
  <c r="D16" i="47"/>
  <c r="D15" i="47"/>
  <c r="D14" i="47"/>
  <c r="D13" i="47"/>
  <c r="D12" i="47"/>
  <c r="D11" i="47"/>
  <c r="D10" i="47"/>
  <c r="D9" i="47"/>
  <c r="D8" i="47"/>
  <c r="D7" i="47"/>
  <c r="D6" i="47"/>
  <c r="D5" i="47"/>
  <c r="D4" i="47"/>
  <c r="M6" i="56"/>
  <c r="M6" i="51"/>
  <c r="M5" i="56"/>
  <c r="R2" i="52" a="1"/>
  <c r="M2" i="59" a="1"/>
  <c r="R1" i="55" a="1"/>
  <c r="R2" i="59" a="1"/>
  <c r="R1" i="58" a="1"/>
  <c r="R2" i="58" a="1"/>
  <c r="M1" i="54" a="1"/>
  <c r="M4" i="53"/>
  <c r="M1" i="51" a="1"/>
  <c r="M4" i="56"/>
  <c r="R2" i="53" a="1"/>
  <c r="M1" i="55" a="1"/>
  <c r="M1" i="48" a="1"/>
  <c r="M1" i="60" a="1"/>
  <c r="M2" i="60" a="1"/>
  <c r="R1" i="57" a="1"/>
  <c r="M5" i="3"/>
  <c r="M1" i="56" a="1"/>
  <c r="R2" i="57" a="1"/>
  <c r="M1" i="53" a="1"/>
  <c r="M6" i="55"/>
  <c r="M1" i="58" a="1"/>
  <c r="M5" i="60"/>
  <c r="M5" i="53"/>
  <c r="M6" i="54"/>
  <c r="M4" i="50"/>
  <c r="M5" i="48"/>
  <c r="M4" i="60"/>
  <c r="M2" i="58" a="1"/>
  <c r="M4" i="57"/>
  <c r="R2" i="51" a="1"/>
  <c r="M5" i="58"/>
  <c r="M6" i="57"/>
  <c r="M4" i="3"/>
  <c r="R1" i="59" a="1"/>
  <c r="R1" i="56" a="1"/>
  <c r="M6" i="60"/>
  <c r="M2" i="55" a="1"/>
  <c r="R2" i="50" a="1"/>
  <c r="M5" i="55"/>
  <c r="M2" i="51" a="1"/>
  <c r="R1" i="54" a="1"/>
  <c r="M1" i="2" a="1"/>
  <c r="M1" i="52" a="1"/>
  <c r="M5" i="59"/>
  <c r="M5" i="52"/>
  <c r="M4" i="51"/>
  <c r="R1" i="60" a="1"/>
  <c r="M1" i="50" a="1"/>
  <c r="R4" i="3"/>
  <c r="R2" i="60" a="1"/>
  <c r="M4" i="48"/>
  <c r="R1" i="50" a="1"/>
  <c r="R2" i="55" a="1"/>
  <c r="M1" i="57" a="1"/>
  <c r="M2" i="54" a="1"/>
  <c r="M6" i="52"/>
  <c r="M5" i="50"/>
  <c r="M6" i="48"/>
  <c r="M4" i="52"/>
  <c r="M5" i="57"/>
  <c r="R5" i="3"/>
  <c r="M5" i="51"/>
  <c r="R2" i="48" a="1"/>
  <c r="M4" i="54"/>
  <c r="M6" i="3"/>
  <c r="R6" i="3"/>
  <c r="M2" i="57" a="1"/>
  <c r="R2" i="56" a="1"/>
  <c r="M6" i="53"/>
  <c r="M4" i="59"/>
  <c r="M2" i="50" a="1"/>
  <c r="M2" i="56" a="1"/>
  <c r="M2" i="53" a="1"/>
  <c r="R1" i="3" a="1"/>
  <c r="R2" i="3" a="1"/>
  <c r="M1" i="3" a="1"/>
  <c r="M6" i="59"/>
  <c r="M5" i="54"/>
  <c r="M4" i="55"/>
  <c r="R1" i="52" a="1"/>
  <c r="R2" i="54" a="1"/>
  <c r="M4" i="58"/>
  <c r="R1" i="51" a="1"/>
  <c r="M2" i="48" a="1"/>
  <c r="R1" i="48" a="1"/>
  <c r="M6" i="58"/>
  <c r="M6" i="50"/>
  <c r="M1" i="59" a="1"/>
  <c r="M2" i="52" a="1"/>
  <c r="R1" i="53" a="1"/>
  <c r="M2" i="3" a="1"/>
  <c r="M7" i="3" l="1"/>
  <c r="R7" i="3"/>
  <c r="I11" i="47"/>
  <c r="I13" i="47"/>
  <c r="I4" i="47"/>
  <c r="I14" i="47"/>
  <c r="I15" i="47"/>
  <c r="I6" i="47"/>
  <c r="I5" i="47"/>
  <c r="I21" i="47"/>
  <c r="I7" i="47"/>
  <c r="I16" i="47"/>
  <c r="I17" i="47"/>
  <c r="I8" i="47"/>
  <c r="I18" i="47"/>
  <c r="I9" i="47"/>
  <c r="I19" i="47"/>
  <c r="I10" i="47"/>
  <c r="I20" i="47"/>
  <c r="I12" i="47"/>
  <c r="B4" i="64"/>
  <c r="B3" i="64"/>
  <c r="B4" i="63"/>
  <c r="B3" i="63"/>
  <c r="B4" i="62"/>
  <c r="B3" i="62"/>
  <c r="B4" i="61"/>
  <c r="B3" i="61"/>
  <c r="M7" i="60"/>
  <c r="M2" i="60"/>
  <c r="R1" i="60"/>
  <c r="R2" i="60"/>
  <c r="M1" i="60"/>
  <c r="R3" i="60"/>
  <c r="M2" i="59"/>
  <c r="M1" i="59"/>
  <c r="R1" i="59"/>
  <c r="R2" i="59"/>
  <c r="M7" i="59"/>
  <c r="R2" i="58"/>
  <c r="M1" i="58"/>
  <c r="M2" i="58"/>
  <c r="R1" i="58"/>
  <c r="M7" i="58"/>
  <c r="R3" i="58"/>
  <c r="R1" i="57"/>
  <c r="M2" i="57"/>
  <c r="R2" i="57"/>
  <c r="M1" i="57"/>
  <c r="R3" i="57"/>
  <c r="M2" i="56"/>
  <c r="R2" i="56"/>
  <c r="M1" i="56"/>
  <c r="R1" i="56"/>
  <c r="M7" i="56"/>
  <c r="R3" i="56"/>
  <c r="M2" i="55"/>
  <c r="R1" i="55"/>
  <c r="R2" i="55"/>
  <c r="M1" i="55"/>
  <c r="M7" i="55"/>
  <c r="R2" i="54"/>
  <c r="M1" i="54"/>
  <c r="R1" i="54"/>
  <c r="M2" i="54"/>
  <c r="M7" i="54"/>
  <c r="R3" i="54"/>
  <c r="M7" i="53"/>
  <c r="R2" i="53"/>
  <c r="M1" i="53"/>
  <c r="R1" i="53"/>
  <c r="M2" i="53"/>
  <c r="R3" i="53"/>
  <c r="R1" i="52"/>
  <c r="M1" i="52"/>
  <c r="M2" i="52"/>
  <c r="R2" i="52"/>
  <c r="M1" i="51"/>
  <c r="M2" i="51"/>
  <c r="R2" i="51"/>
  <c r="R1" i="51"/>
  <c r="R1" i="50"/>
  <c r="M1" i="50"/>
  <c r="M2" i="50"/>
  <c r="R2" i="50"/>
  <c r="M1" i="48"/>
  <c r="R1" i="48"/>
  <c r="M2" i="48"/>
  <c r="R2" i="48"/>
  <c r="M1" i="3"/>
  <c r="R1" i="3"/>
  <c r="M2" i="3"/>
  <c r="R2" i="3"/>
  <c r="M1" i="2"/>
  <c r="R3" i="52"/>
  <c r="M7" i="51"/>
  <c r="R3" i="51"/>
  <c r="M7" i="50"/>
  <c r="R3" i="50"/>
  <c r="M7" i="48"/>
  <c r="R3" i="48"/>
  <c r="G8" i="2"/>
  <c r="G7" i="2"/>
  <c r="G6" i="2"/>
  <c r="G5" i="2"/>
  <c r="G4" i="2"/>
  <c r="G3" i="2"/>
  <c r="G2" i="2"/>
  <c r="G1" i="2"/>
  <c r="H14" i="47" a="1"/>
  <c r="G20" i="47" a="1"/>
  <c r="G21" i="47" a="1"/>
  <c r="G14" i="47" a="1"/>
  <c r="H17" i="47" a="1"/>
  <c r="H21" i="47" a="1"/>
  <c r="H20" i="47" a="1"/>
  <c r="G17" i="47" a="1"/>
  <c r="B4" i="60" l="1"/>
  <c r="B4" i="50"/>
  <c r="G20" i="47"/>
  <c r="G21" i="47"/>
  <c r="G17" i="47"/>
  <c r="G14" i="47"/>
  <c r="H21" i="47"/>
  <c r="H17" i="47"/>
  <c r="H20" i="47"/>
  <c r="H14" i="47"/>
  <c r="B4" i="59"/>
  <c r="B4" i="58"/>
  <c r="B4" i="56"/>
  <c r="B4" i="55"/>
  <c r="B4" i="54"/>
  <c r="B4" i="53"/>
  <c r="B4" i="51"/>
  <c r="B4" i="48"/>
  <c r="M7" i="57"/>
  <c r="M7" i="52"/>
  <c r="H8" i="2"/>
  <c r="H7" i="2"/>
  <c r="H6" i="2"/>
  <c r="H5" i="2"/>
  <c r="H4" i="2"/>
  <c r="H3" i="2"/>
  <c r="H1" i="2"/>
  <c r="H18" i="47" a="1"/>
  <c r="H7" i="47" a="1"/>
  <c r="R2" i="2" a="1"/>
  <c r="H9" i="47" a="1"/>
  <c r="R5" i="2"/>
  <c r="H11" i="47" a="1"/>
  <c r="H12" i="47" a="1"/>
  <c r="M5" i="2"/>
  <c r="R6" i="2"/>
  <c r="H15" i="47" a="1"/>
  <c r="H16" i="47" a="1"/>
  <c r="M2" i="2" a="1"/>
  <c r="H13" i="47" a="1"/>
  <c r="M4" i="2"/>
  <c r="H10" i="47" a="1"/>
  <c r="M6" i="2"/>
  <c r="R1" i="2" a="1"/>
  <c r="R4" i="2"/>
  <c r="H13" i="47" l="1"/>
  <c r="M7" i="2"/>
  <c r="H15" i="47"/>
  <c r="H9" i="47"/>
  <c r="H12" i="47"/>
  <c r="H16" i="47"/>
  <c r="H10" i="47"/>
  <c r="H11" i="47"/>
  <c r="H18" i="47"/>
  <c r="H7" i="47"/>
  <c r="B4" i="57"/>
  <c r="B4" i="52"/>
  <c r="B4" i="3"/>
  <c r="B3" i="3"/>
  <c r="M2" i="2"/>
  <c r="R1" i="2"/>
  <c r="R2" i="2"/>
  <c r="R3" i="2"/>
  <c r="R7" i="2" s="1"/>
  <c r="H5" i="47" a="1"/>
  <c r="G5" i="47" a="1"/>
  <c r="H8" i="47" a="1"/>
  <c r="H19" i="47" a="1"/>
  <c r="G5" i="47" l="1"/>
  <c r="H8" i="47"/>
  <c r="H5" i="47"/>
  <c r="H19" i="47"/>
  <c r="B3" i="2" l="1"/>
  <c r="B4" i="2"/>
  <c r="G4" i="47" a="1"/>
  <c r="R4" i="60"/>
  <c r="R5" i="48"/>
  <c r="R4" i="50"/>
  <c r="H4" i="47" a="1"/>
  <c r="R4" i="55"/>
  <c r="R6" i="50"/>
  <c r="R4" i="56"/>
  <c r="R4" i="48"/>
  <c r="R6" i="56"/>
  <c r="R5" i="59"/>
  <c r="R5" i="56"/>
  <c r="R5" i="54"/>
  <c r="R5" i="50"/>
  <c r="R5" i="51"/>
  <c r="R6" i="59"/>
  <c r="R6" i="55"/>
  <c r="R4" i="51"/>
  <c r="R6" i="60"/>
  <c r="R5" i="52"/>
  <c r="R6" i="48"/>
  <c r="R5" i="58"/>
  <c r="R5" i="53"/>
  <c r="R6" i="53"/>
  <c r="R6" i="51"/>
  <c r="R5" i="60"/>
  <c r="R6" i="58"/>
  <c r="R4" i="58"/>
  <c r="R6" i="52"/>
  <c r="R4" i="53"/>
  <c r="R6" i="57"/>
  <c r="R4" i="57"/>
  <c r="R5" i="55"/>
  <c r="R6" i="54"/>
  <c r="R4" i="59"/>
  <c r="R4" i="52"/>
  <c r="R4" i="54"/>
  <c r="R5" i="57"/>
  <c r="H4" i="47" l="1"/>
  <c r="G4" i="47"/>
  <c r="R7" i="52"/>
  <c r="B3" i="52" s="1"/>
  <c r="R7" i="54"/>
  <c r="B3" i="54" s="1"/>
  <c r="R7" i="58"/>
  <c r="B3" i="58" s="1"/>
  <c r="R7" i="50"/>
  <c r="B3" i="50" s="1"/>
  <c r="R7" i="57"/>
  <c r="B3" i="57" s="1"/>
  <c r="R7" i="56"/>
  <c r="B3" i="56" s="1"/>
  <c r="R7" i="51"/>
  <c r="B3" i="51" s="1"/>
  <c r="R7" i="59"/>
  <c r="B3" i="59" s="1"/>
  <c r="R7" i="53"/>
  <c r="B3" i="53" s="1"/>
  <c r="R7" i="48"/>
  <c r="B3" i="48" s="1"/>
  <c r="R7" i="55"/>
  <c r="B3" i="55" s="1"/>
  <c r="R7" i="60"/>
  <c r="B3" i="60" s="1"/>
  <c r="G7" i="47" a="1"/>
  <c r="G6" i="47" a="1"/>
  <c r="G18" i="47" a="1"/>
  <c r="H6" i="47" a="1"/>
  <c r="G12" i="47" a="1"/>
  <c r="G8" i="47" a="1"/>
  <c r="G16" i="47" a="1"/>
  <c r="G13" i="47" a="1"/>
  <c r="G10" i="47" a="1"/>
  <c r="G15" i="47" a="1"/>
  <c r="G19" i="47" a="1"/>
  <c r="G11" i="47" a="1"/>
  <c r="G9" i="47" a="1"/>
  <c r="H6" i="47" l="1"/>
  <c r="G10" i="47"/>
  <c r="G7" i="47"/>
  <c r="G9" i="47"/>
  <c r="G13" i="47"/>
  <c r="G15" i="47"/>
  <c r="G11" i="47"/>
  <c r="G18" i="47"/>
  <c r="G16" i="47"/>
  <c r="G12" i="47"/>
  <c r="G6" i="47"/>
  <c r="G19" i="47"/>
  <c r="G8" i="4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4433FF-4071-48C8-A866-E80071B61603}" keepAlive="1" name="Query - YP50_0" description="Connection to the 'YP50_0' query in the workbook." type="5" refreshedVersion="0" background="1" saveData="1">
    <dbPr connection="Provider=Microsoft.Mashup.OleDb.1;Data Source=$Workbook$;Location=YP50_0;Extended Properties=&quot;&quot;" command="SELECT * FROM [YP50_0]"/>
  </connection>
  <connection id="2" xr16:uid="{DDADC73A-D4DD-418E-830E-8617EB9CEFC8}" keepAlive="1" name="Query - YP50_0 (2)" description="Connection to the 'YP50_0 (2)' query in the workbook." type="5" refreshedVersion="0" background="1" saveData="1">
    <dbPr connection="Provider=Microsoft.Mashup.OleDb.1;Data Source=$Workbook$;Location=&quot;YP50_0 (2)&quot;;Extended Properties=&quot;&quot;" command="SELECT * FROM [YP50_0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<sst xmlns="http://schemas.openxmlformats.org/spreadsheetml/2006/main" count="1142" uniqueCount="121">
  <si>
    <t>Sample</t>
  </si>
  <si>
    <t>K</t>
  </si>
  <si>
    <t>Ca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</si>
  <si>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</si>
  <si>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</si>
  <si>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</si>
  <si>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</si>
  <si>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</si>
  <si>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</si>
  <si>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</si>
  <si>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</si>
  <si>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</si>
  <si>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Rb</t>
  </si>
  <si>
    <t>Sr</t>
  </si>
  <si>
    <t>Mo</t>
  </si>
  <si>
    <t>Cd</t>
  </si>
  <si>
    <t>Tl</t>
  </si>
  <si>
    <t>Pb</t>
  </si>
  <si>
    <t>Bi</t>
  </si>
  <si>
    <t>YP50-0</t>
  </si>
  <si>
    <t>YP50-1</t>
  </si>
  <si>
    <t>YP50-2</t>
  </si>
  <si>
    <t>YP50-3</t>
  </si>
  <si>
    <t>YP50-4</t>
  </si>
  <si>
    <t>YP50-5</t>
  </si>
  <si>
    <t>YP50-6</t>
  </si>
  <si>
    <t>b (intercept)</t>
  </si>
  <si>
    <t>x (concentration)</t>
  </si>
  <si>
    <t>y (signal from sample)</t>
  </si>
  <si>
    <t>Range 1:</t>
  </si>
  <si>
    <t>Range 2:</t>
  </si>
  <si>
    <t>Sample name:</t>
  </si>
  <si>
    <t>Element</t>
  </si>
  <si>
    <t>**paste sample data below**</t>
  </si>
  <si>
    <t>Si</t>
  </si>
  <si>
    <t>ppm</t>
  </si>
  <si>
    <t>P</t>
  </si>
  <si>
    <t>S</t>
  </si>
  <si>
    <t>Cl</t>
  </si>
  <si>
    <t>Ti</t>
  </si>
  <si>
    <t>Sn</t>
  </si>
  <si>
    <t>As</t>
  </si>
  <si>
    <t>Ir</t>
  </si>
  <si>
    <t>Th</t>
  </si>
  <si>
    <t>Y</t>
  </si>
  <si>
    <t>Zr</t>
  </si>
  <si>
    <t>In</t>
  </si>
  <si>
    <t>Benchling Copyable Table</t>
  </si>
  <si>
    <t>Concentration (ppm)</t>
  </si>
  <si>
    <t>Signal Quality</t>
  </si>
  <si>
    <t>Bismuth (Bi)</t>
  </si>
  <si>
    <t>Cadmium (Cd)</t>
  </si>
  <si>
    <t>Calcium (Ca)</t>
  </si>
  <si>
    <t>Chromium (Cr)</t>
  </si>
  <si>
    <t>Cobalt (Co)</t>
  </si>
  <si>
    <t>Copper (Cu)</t>
  </si>
  <si>
    <t>Gallium (Ga)</t>
  </si>
  <si>
    <t>Iron (Fe)</t>
  </si>
  <si>
    <t>Lead (Pb)</t>
  </si>
  <si>
    <t>Manganese (Mn)</t>
  </si>
  <si>
    <t>Molybdenum (Mo)</t>
  </si>
  <si>
    <t>Nickel (Ni)</t>
  </si>
  <si>
    <t>Potassium (K)</t>
  </si>
  <si>
    <t>Rubidium (Rb)</t>
  </si>
  <si>
    <t>Strontium (Sr)</t>
  </si>
  <si>
    <t>Thallium (Tl)</t>
  </si>
  <si>
    <t>Vanadium (V)</t>
  </si>
  <si>
    <t>Zinc (Zn)</t>
  </si>
  <si>
    <t>Potassium</t>
  </si>
  <si>
    <t>Lower Limits</t>
  </si>
  <si>
    <t>True Concentrations
 (ppm)</t>
  </si>
  <si>
    <t>Limit of Detection (ppm)</t>
  </si>
  <si>
    <t>Std. Dev. (LOD/3)</t>
  </si>
  <si>
    <t>Calcium</t>
  </si>
  <si>
    <t>Vanadium</t>
  </si>
  <si>
    <t>Range Min Signal</t>
  </si>
  <si>
    <t>Range Max Signal</t>
  </si>
  <si>
    <t>m (slope from calib. curve)</t>
  </si>
  <si>
    <t>R2 (fit value)</t>
  </si>
  <si>
    <t>Range 1</t>
  </si>
  <si>
    <t>Range 2</t>
  </si>
  <si>
    <t>LOD (ppm)</t>
  </si>
  <si>
    <t>Chromium</t>
  </si>
  <si>
    <t>Manganese</t>
  </si>
  <si>
    <t>Iron</t>
  </si>
  <si>
    <t>Range</t>
  </si>
  <si>
    <t>Cobalt</t>
  </si>
  <si>
    <t>Nickel</t>
  </si>
  <si>
    <t>Copper</t>
  </si>
  <si>
    <t>Zinc</t>
  </si>
  <si>
    <t>Gallium</t>
  </si>
  <si>
    <t>Rubidium</t>
  </si>
  <si>
    <t>Strontium</t>
  </si>
  <si>
    <t>Molybdenum</t>
  </si>
  <si>
    <t>Cadmium</t>
  </si>
  <si>
    <t>Thallium</t>
  </si>
  <si>
    <t>Lead</t>
  </si>
  <si>
    <t>Bismuth</t>
  </si>
  <si>
    <t>Material</t>
  </si>
  <si>
    <t>Signal Intensity</t>
  </si>
  <si>
    <t>Silicon (Si)</t>
  </si>
  <si>
    <t>Phosphorus (P)</t>
  </si>
  <si>
    <t>Sulfur (S)</t>
  </si>
  <si>
    <t>Titanium (Ti)</t>
  </si>
  <si>
    <t>Chlorine (Cl)</t>
  </si>
  <si>
    <t>Cerium (Ce)</t>
  </si>
  <si>
    <t>Zirconium (Zr)</t>
  </si>
  <si>
    <t>Tin (Sn)</t>
  </si>
  <si>
    <t>Arsenic (As)</t>
  </si>
  <si>
    <t>Iridium (Ir)</t>
  </si>
  <si>
    <t>Tellurium (Te)</t>
  </si>
  <si>
    <t>Tungsten (W)</t>
  </si>
  <si>
    <t>Yttrium (Y)</t>
  </si>
  <si>
    <t>Cesium (Cs)</t>
  </si>
  <si>
    <t>Re</t>
  </si>
  <si>
    <t>Er</t>
  </si>
  <si>
    <t>Os</t>
  </si>
  <si>
    <t>La</t>
  </si>
  <si>
    <t>Yb</t>
  </si>
  <si>
    <t>Br</t>
  </si>
  <si>
    <t>ENTER SAMPLE NAME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</si>
</sst>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1" tint="0.499984740745262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7E6E6"/>
        <bgColor rgb="FFE7E6E6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2" fillId="0" borderId="0" xfId="0" applyFont="1"/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19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4" fontId="0" fillId="0" borderId="14" xfId="0" applyNumberFormat="1" applyBorder="1"/>
    <xf numFmtId="164" fontId="0" fillId="0" borderId="0" xfId="0" applyNumberFormat="1"/>
    <xf numFmtId="0" fontId="2" fillId="3" borderId="10" xfId="0" applyFont="1" applyFill="1" applyBorder="1" applyAlignment="1">
      <alignment horizontal="center"/>
    </xf>
    <xf numFmtId="166" fontId="6" fillId="0" borderId="10" xfId="0" applyNumberFormat="1" applyFont="1" applyBorder="1"/>
    <xf numFmtId="166" fontId="7" fillId="0" borderId="10" xfId="0" applyNumberFormat="1" applyFont="1" applyBorder="1"/>
    <xf numFmtId="166" fontId="6" fillId="0" borderId="29" xfId="0" applyNumberFormat="1" applyFont="1" applyBorder="1"/>
    <xf numFmtId="166" fontId="7" fillId="0" borderId="29" xfId="0" applyNumberFormat="1" applyFont="1" applyBorder="1"/>
    <xf numFmtId="166" fontId="7" fillId="0" borderId="28" xfId="0" applyNumberFormat="1" applyFont="1" applyBorder="1"/>
    <xf numFmtId="166" fontId="6" fillId="0" borderId="28" xfId="0" applyNumberFormat="1" applyFont="1" applyBorder="1"/>
    <xf numFmtId="0" fontId="2" fillId="3" borderId="10" xfId="0" applyFont="1" applyFill="1" applyBorder="1" applyAlignment="1">
      <alignment horizontal="right"/>
    </xf>
    <xf numFmtId="0" fontId="2" fillId="3" borderId="29" xfId="0" applyFont="1" applyFill="1" applyBorder="1" applyAlignment="1">
      <alignment horizontal="right"/>
    </xf>
    <xf numFmtId="0" fontId="2" fillId="3" borderId="28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4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right" indent="1"/>
    </xf>
    <xf numFmtId="0" fontId="2" fillId="0" borderId="0" xfId="0" applyFont="1" applyAlignment="1">
      <alignment horizontal="right" indent="1"/>
    </xf>
    <xf numFmtId="0" fontId="2" fillId="3" borderId="7" xfId="0" applyFont="1" applyFill="1" applyBorder="1" applyAlignment="1">
      <alignment horizontal="right" indent="1"/>
    </xf>
    <xf numFmtId="0" fontId="2" fillId="3" borderId="8" xfId="0" applyFont="1" applyFill="1" applyBorder="1" applyAlignment="1">
      <alignment horizontal="right" indent="1"/>
    </xf>
    <xf numFmtId="0" fontId="2" fillId="3" borderId="9" xfId="0" applyFont="1" applyFill="1" applyBorder="1" applyAlignment="1">
      <alignment horizontal="right" indent="1"/>
    </xf>
    <xf numFmtId="0" fontId="2" fillId="3" borderId="22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0" fillId="0" borderId="0" xfId="0" applyAlignment="1">
      <alignment horizontal="right" vertical="center"/>
    </xf>
    <xf numFmtId="0" fontId="4" fillId="0" borderId="14" xfId="0" applyFont="1" applyBorder="1" applyAlignment="1">
      <alignment horizontal="center"/>
    </xf>
    <xf numFmtId="0" fontId="2" fillId="3" borderId="7" xfId="0" applyFont="1" applyFill="1" applyBorder="1" applyAlignment="1">
      <alignment horizontal="right" vertical="center" indent="1"/>
    </xf>
    <xf numFmtId="0" fontId="2" fillId="3" borderId="9" xfId="0" applyFont="1" applyFill="1" applyBorder="1" applyAlignment="1">
      <alignment horizontal="right" vertical="center" indent="1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0" fillId="7" borderId="10" xfId="0" applyFont="1" applyFill="1" applyBorder="1" applyAlignment="1">
      <alignment horizontal="left" indent="1"/>
    </xf>
    <xf numFmtId="0" fontId="11" fillId="7" borderId="28" xfId="0" applyFont="1" applyFill="1" applyBorder="1" applyAlignment="1">
      <alignment horizontal="left" indent="1"/>
    </xf>
    <xf numFmtId="0" fontId="0" fillId="0" borderId="13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0" fillId="0" borderId="18" xfId="0" applyBorder="1" applyAlignment="1">
      <alignment horizontal="right" vertical="center"/>
    </xf>
    <xf numFmtId="0" fontId="0" fillId="0" borderId="20" xfId="0" applyBorder="1" applyAlignment="1">
      <alignment horizontal="right" vertical="center" indent="1"/>
    </xf>
    <xf numFmtId="0" fontId="0" fillId="0" borderId="8" xfId="0" applyBorder="1" applyAlignment="1">
      <alignment horizontal="right" vertical="center" indent="1"/>
    </xf>
    <xf numFmtId="0" fontId="0" fillId="6" borderId="7" xfId="0" applyFill="1" applyBorder="1" applyAlignment="1">
      <alignment horizontal="center" vertical="center"/>
    </xf>
    <xf numFmtId="165" fontId="0" fillId="6" borderId="7" xfId="0" applyNumberForma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165" fontId="0" fillId="6" borderId="8" xfId="0" applyNumberFormat="1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165" fontId="0" fillId="8" borderId="8" xfId="0" applyNumberFormat="1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165" fontId="0" fillId="8" borderId="7" xfId="0" applyNumberForma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165" fontId="0" fillId="6" borderId="9" xfId="0" applyNumberFormat="1" applyFill="1" applyBorder="1" applyAlignment="1">
      <alignment horizontal="center" vertical="center"/>
    </xf>
    <xf numFmtId="1" fontId="4" fillId="5" borderId="29" xfId="0" applyNumberFormat="1" applyFont="1" applyFill="1" applyBorder="1" applyAlignment="1">
      <alignment horizontal="left" indent="1"/>
    </xf>
    <xf numFmtId="0" fontId="4" fillId="5" borderId="9" xfId="0" applyFont="1" applyFill="1" applyBorder="1" applyAlignment="1">
      <alignment horizontal="left" indent="1"/>
    </xf>
    <xf numFmtId="0" fontId="0" fillId="0" borderId="8" xfId="0" applyBorder="1" applyAlignment="1">
      <alignment vertical="center"/>
    </xf>
    <xf numFmtId="0" fontId="0" fillId="0" borderId="30" xfId="0" applyBorder="1" applyAlignment="1">
      <alignment horizontal="right" vertical="center" indent="1"/>
    </xf>
    <xf numFmtId="0" fontId="0" fillId="0" borderId="30" xfId="0" applyBorder="1" applyAlignment="1">
      <alignment vertical="center"/>
    </xf>
    <xf numFmtId="0" fontId="2" fillId="5" borderId="1" xfId="0" applyFont="1" applyFill="1" applyBorder="1" applyAlignment="1">
      <alignment horizontal="right" vertical="center" indent="1"/>
    </xf>
    <xf numFmtId="164" fontId="9" fillId="2" borderId="4" xfId="0" applyNumberFormat="1" applyFont="1" applyFill="1" applyBorder="1" applyAlignment="1">
      <alignment horizontal="center" vertical="center"/>
    </xf>
    <xf numFmtId="164" fontId="9" fillId="2" borderId="5" xfId="0" applyNumberFormat="1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vertical="center"/>
    </xf>
    <xf numFmtId="0" fontId="12" fillId="2" borderId="2" xfId="0" applyFont="1" applyFill="1" applyBorder="1" applyAlignment="1">
      <alignment horizontal="center"/>
    </xf>
    <xf numFmtId="164" fontId="5" fillId="4" borderId="7" xfId="0" applyNumberFormat="1" applyFont="1" applyFill="1" applyBorder="1" applyAlignment="1">
      <alignment horizontal="right" wrapText="1" indent="1"/>
    </xf>
    <xf numFmtId="164" fontId="5" fillId="4" borderId="8" xfId="0" applyNumberFormat="1" applyFont="1" applyFill="1" applyBorder="1" applyAlignment="1">
      <alignment horizontal="right" wrapText="1" indent="1"/>
    </xf>
    <xf numFmtId="164" fontId="5" fillId="4" borderId="9" xfId="0" applyNumberFormat="1" applyFont="1" applyFill="1" applyBorder="1" applyAlignment="1">
      <alignment horizontal="right" wrapText="1" indent="1"/>
    </xf>
    <xf numFmtId="165" fontId="13" fillId="8" borderId="9" xfId="0" applyNumberFormat="1" applyFont="1" applyFill="1" applyBorder="1" applyAlignment="1">
      <alignment horizontal="center" vertical="center"/>
    </xf>
    <xf numFmtId="164" fontId="14" fillId="2" borderId="9" xfId="0" applyNumberFormat="1" applyFont="1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165" fontId="0" fillId="6" borderId="20" xfId="0" applyNumberFormat="1" applyFill="1" applyBorder="1" applyAlignment="1">
      <alignment horizontal="center" vertical="center"/>
    </xf>
    <xf numFmtId="164" fontId="9" fillId="2" borderId="2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textRotation="90"/>
    </xf>
    <xf numFmtId="0" fontId="0" fillId="3" borderId="1" xfId="0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4" fontId="15" fillId="3" borderId="11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2" fillId="0" borderId="22" xfId="0" applyFont="1" applyBorder="1" applyAlignment="1">
      <alignment horizontal="right" vertical="center" indent="1"/>
    </xf>
    <xf numFmtId="1" fontId="0" fillId="0" borderId="8" xfId="0" applyNumberFormat="1" applyBorder="1" applyAlignment="1">
      <alignment vertical="center"/>
    </xf>
    <xf numFmtId="1" fontId="0" fillId="0" borderId="7" xfId="0" applyNumberFormat="1" applyBorder="1" applyAlignment="1">
      <alignment vertical="center"/>
    </xf>
    <xf numFmtId="2" fontId="0" fillId="0" borderId="0" xfId="0" applyNumberFormat="1" applyAlignment="1">
      <alignment vertical="center"/>
    </xf>
    <xf numFmtId="165" fontId="0" fillId="8" borderId="9" xfId="0" applyNumberFormat="1" applyFill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164" fontId="4" fillId="5" borderId="29" xfId="0" applyNumberFormat="1" applyFont="1" applyFill="1" applyBorder="1" applyAlignment="1">
      <alignment horizontal="left" indent="1"/>
    </xf>
    <xf numFmtId="1" fontId="0" fillId="0" borderId="20" xfId="0" applyNumberFormat="1" applyBorder="1" applyAlignment="1">
      <alignment vertical="center"/>
    </xf>
    <xf numFmtId="0" fontId="4" fillId="0" borderId="26" xfId="0" applyFont="1" applyBorder="1" applyAlignment="1">
      <alignment horizontal="center"/>
    </xf>
    <xf numFmtId="0" fontId="4" fillId="6" borderId="2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/>
    </xf>
    <xf numFmtId="0" fontId="4" fillId="6" borderId="34" xfId="0" applyFont="1" applyFill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2" fillId="8" borderId="33" xfId="0" applyFont="1" applyFill="1" applyBorder="1" applyAlignment="1">
      <alignment horizontal="center" vertical="center"/>
    </xf>
    <xf numFmtId="0" fontId="2" fillId="8" borderId="34" xfId="0" applyFont="1" applyFill="1" applyBorder="1" applyAlignment="1">
      <alignment horizontal="center" vertical="center"/>
    </xf>
    <xf numFmtId="0" fontId="0" fillId="0" borderId="33" xfId="0" applyBorder="1"/>
    <xf numFmtId="165" fontId="16" fillId="6" borderId="20" xfId="0" applyNumberFormat="1" applyFont="1" applyFill="1" applyBorder="1" applyAlignment="1">
      <alignment horizontal="center" vertical="center"/>
    </xf>
    <xf numFmtId="164" fontId="16" fillId="2" borderId="21" xfId="0" applyNumberFormat="1" applyFont="1" applyFill="1" applyBorder="1" applyAlignment="1">
      <alignment horizontal="center" vertical="center"/>
    </xf>
    <xf numFmtId="165" fontId="14" fillId="6" borderId="20" xfId="0" applyNumberFormat="1" applyFont="1" applyFill="1" applyBorder="1" applyAlignment="1">
      <alignment horizontal="center" vertical="center"/>
    </xf>
    <xf numFmtId="164" fontId="14" fillId="2" borderId="21" xfId="0" applyNumberFormat="1" applyFont="1" applyFill="1" applyBorder="1" applyAlignment="1">
      <alignment horizontal="center" vertical="center"/>
    </xf>
    <xf numFmtId="165" fontId="14" fillId="6" borderId="8" xfId="0" applyNumberFormat="1" applyFont="1" applyFill="1" applyBorder="1" applyAlignment="1">
      <alignment horizontal="center" vertical="center"/>
    </xf>
    <xf numFmtId="164" fontId="14" fillId="2" borderId="5" xfId="0" applyNumberFormat="1" applyFont="1" applyFill="1" applyBorder="1" applyAlignment="1">
      <alignment horizontal="center" vertical="center"/>
    </xf>
    <xf numFmtId="165" fontId="14" fillId="8" borderId="9" xfId="0" applyNumberFormat="1" applyFont="1" applyFill="1" applyBorder="1" applyAlignment="1">
      <alignment horizontal="center" vertical="center"/>
    </xf>
    <xf numFmtId="164" fontId="0" fillId="2" borderId="21" xfId="0" applyNumberFormat="1" applyFill="1" applyBorder="1" applyAlignment="1">
      <alignment horizontal="center" vertical="center"/>
    </xf>
    <xf numFmtId="1" fontId="0" fillId="6" borderId="31" xfId="0" applyNumberFormat="1" applyFill="1" applyBorder="1" applyAlignment="1">
      <alignment horizontal="right" indent="1"/>
    </xf>
    <xf numFmtId="0" fontId="2" fillId="6" borderId="5" xfId="0" applyFont="1" applyFill="1" applyBorder="1" applyAlignment="1">
      <alignment horizontal="right" indent="1"/>
    </xf>
    <xf numFmtId="1" fontId="0" fillId="6" borderId="32" xfId="0" applyNumberFormat="1" applyFill="1" applyBorder="1" applyAlignment="1">
      <alignment horizontal="right" indent="1"/>
    </xf>
    <xf numFmtId="0" fontId="2" fillId="6" borderId="6" xfId="0" applyFont="1" applyFill="1" applyBorder="1" applyAlignment="1">
      <alignment horizontal="right" indent="1"/>
    </xf>
    <xf numFmtId="0" fontId="12" fillId="2" borderId="3" xfId="0" applyFont="1" applyFill="1" applyBorder="1" applyAlignment="1">
      <alignment horizontal="center"/>
    </xf>
    <xf numFmtId="1" fontId="0" fillId="6" borderId="35" xfId="0" applyNumberFormat="1" applyFill="1" applyBorder="1" applyAlignment="1">
      <alignment horizontal="right" indent="1"/>
    </xf>
    <xf numFmtId="0" fontId="2" fillId="6" borderId="36" xfId="0" applyFont="1" applyFill="1" applyBorder="1" applyAlignment="1">
      <alignment horizontal="right" indent="1"/>
    </xf>
    <xf numFmtId="1" fontId="0" fillId="6" borderId="36" xfId="0" applyNumberFormat="1" applyFill="1" applyBorder="1" applyAlignment="1">
      <alignment horizontal="right" indent="1"/>
    </xf>
    <xf numFmtId="0" fontId="2" fillId="6" borderId="21" xfId="0" applyFont="1" applyFill="1" applyBorder="1" applyAlignment="1">
      <alignment horizontal="right" indent="1"/>
    </xf>
    <xf numFmtId="1" fontId="0" fillId="6" borderId="2" xfId="0" applyNumberFormat="1" applyFill="1" applyBorder="1" applyAlignment="1">
      <alignment horizontal="right" indent="1"/>
    </xf>
    <xf numFmtId="0" fontId="2" fillId="6" borderId="31" xfId="0" applyFont="1" applyFill="1" applyBorder="1" applyAlignment="1">
      <alignment horizontal="right" indent="1"/>
    </xf>
    <xf numFmtId="1" fontId="0" fillId="6" borderId="3" xfId="0" applyNumberFormat="1" applyFill="1" applyBorder="1" applyAlignment="1">
      <alignment horizontal="right" indent="1"/>
    </xf>
    <xf numFmtId="0" fontId="2" fillId="6" borderId="32" xfId="0" applyFont="1" applyFill="1" applyBorder="1" applyAlignment="1">
      <alignment horizontal="right" indent="1"/>
    </xf>
    <xf numFmtId="164" fontId="9" fillId="2" borderId="25" xfId="0" applyNumberFormat="1" applyFont="1" applyFill="1" applyBorder="1" applyAlignment="1">
      <alignment horizontal="right" indent="1"/>
    </xf>
    <xf numFmtId="164" fontId="9" fillId="2" borderId="27" xfId="0" applyNumberFormat="1" applyFont="1" applyFill="1" applyBorder="1" applyAlignment="1">
      <alignment horizontal="right" indent="1"/>
    </xf>
    <xf numFmtId="164" fontId="1" fillId="0" borderId="0" xfId="0" applyNumberFormat="1" applyFont="1" applyAlignment="1">
      <alignment horizontal="center"/>
    </xf>
    <xf numFmtId="0" fontId="0" fillId="0" borderId="37" xfId="0" applyBorder="1"/>
    <xf numFmtId="0" fontId="2" fillId="0" borderId="38" xfId="0" applyFont="1" applyBorder="1"/>
    <xf numFmtId="164" fontId="0" fillId="0" borderId="4" xfId="0" applyNumberFormat="1" applyBorder="1" applyAlignment="1">
      <alignment horizontal="right" indent="1"/>
    </xf>
    <xf numFmtId="0" fontId="0" fillId="0" borderId="2" xfId="0" applyBorder="1"/>
    <xf numFmtId="0" fontId="2" fillId="0" borderId="31" xfId="0" applyFont="1" applyBorder="1"/>
    <xf numFmtId="0" fontId="0" fillId="0" borderId="3" xfId="0" applyBorder="1"/>
    <xf numFmtId="0" fontId="2" fillId="0" borderId="32" xfId="0" applyFont="1" applyBorder="1"/>
    <xf numFmtId="0" fontId="0" fillId="6" borderId="30" xfId="0" applyFill="1" applyBorder="1" applyAlignment="1">
      <alignment horizontal="center" vertical="center"/>
    </xf>
    <xf numFmtId="165" fontId="0" fillId="6" borderId="30" xfId="0" applyNumberFormat="1" applyFill="1" applyBorder="1" applyAlignment="1">
      <alignment horizontal="center" vertical="center"/>
    </xf>
    <xf numFmtId="164" fontId="9" fillId="2" borderId="39" xfId="0" applyNumberFormat="1" applyFont="1" applyFill="1" applyBorder="1" applyAlignment="1">
      <alignment horizontal="center" vertical="center"/>
    </xf>
    <xf numFmtId="0" fontId="6" fillId="0" borderId="43" xfId="0" applyFont="1" applyBorder="1"/>
    <xf numFmtId="0" fontId="6" fillId="0" borderId="44" xfId="0" applyFont="1" applyBorder="1"/>
    <xf numFmtId="0" fontId="6" fillId="0" borderId="0" xfId="0" applyFont="1"/>
    <xf numFmtId="0" fontId="6" fillId="0" borderId="45" xfId="0" applyFont="1" applyBorder="1"/>
    <xf numFmtId="0" fontId="6" fillId="0" borderId="46" xfId="0" applyFont="1" applyBorder="1"/>
    <xf numFmtId="0" fontId="6" fillId="0" borderId="47" xfId="0" applyFont="1" applyBorder="1"/>
    <xf numFmtId="0" fontId="19" fillId="0" borderId="0" xfId="0" applyFont="1"/>
    <xf numFmtId="0" fontId="2" fillId="3" borderId="10" xfId="0" applyFont="1" applyFill="1" applyBorder="1" applyAlignment="1">
      <alignment horizontal="center" vertical="center" textRotation="90" wrapText="1"/>
    </xf>
    <xf numFmtId="0" fontId="2" fillId="3" borderId="29" xfId="0" applyFont="1" applyFill="1" applyBorder="1" applyAlignment="1">
      <alignment horizontal="center" vertical="center" textRotation="90"/>
    </xf>
    <xf numFmtId="0" fontId="2" fillId="3" borderId="28" xfId="0" applyFont="1" applyFill="1" applyBorder="1" applyAlignment="1">
      <alignment horizontal="center" vertical="center" textRotation="90"/>
    </xf>
    <xf numFmtId="0" fontId="17" fillId="9" borderId="40" xfId="0" applyFont="1" applyFill="1" applyBorder="1" applyAlignment="1">
      <alignment horizontal="center"/>
    </xf>
    <xf numFmtId="0" fontId="18" fillId="0" borderId="41" xfId="0" applyFont="1" applyBorder="1"/>
    <xf numFmtId="0" fontId="18" fillId="0" borderId="42" xfId="0" applyFont="1" applyBorder="1"/>
    <xf numFmtId="0" fontId="2" fillId="3" borderId="22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right" vertical="center" indent="1"/>
    </xf>
    <xf numFmtId="0" fontId="2" fillId="3" borderId="28" xfId="0" applyFont="1" applyFill="1" applyBorder="1" applyAlignment="1">
      <alignment horizontal="right" vertical="center" indent="1"/>
    </xf>
    <xf numFmtId="0" fontId="2" fillId="8" borderId="10" xfId="0" applyFont="1" applyFill="1" applyBorder="1" applyAlignment="1">
      <alignment horizontal="center" vertical="center" textRotation="90"/>
    </xf>
    <xf numFmtId="0" fontId="2" fillId="8" borderId="29" xfId="0" applyFont="1" applyFill="1" applyBorder="1" applyAlignment="1">
      <alignment horizontal="center" vertical="center" textRotation="90"/>
    </xf>
    <xf numFmtId="0" fontId="2" fillId="8" borderId="28" xfId="0" applyFont="1" applyFill="1" applyBorder="1" applyAlignment="1">
      <alignment horizontal="center" vertical="center" textRotation="90"/>
    </xf>
    <xf numFmtId="0" fontId="4" fillId="6" borderId="10" xfId="0" applyFont="1" applyFill="1" applyBorder="1" applyAlignment="1">
      <alignment horizontal="center" vertical="center" textRotation="90"/>
    </xf>
    <xf numFmtId="0" fontId="4" fillId="6" borderId="29" xfId="0" applyFont="1" applyFill="1" applyBorder="1" applyAlignment="1">
      <alignment horizontal="center" vertical="center" textRotation="90"/>
    </xf>
    <xf numFmtId="0" fontId="4" fillId="6" borderId="28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9">
    <dxf>
      <font>
        <b val="0"/>
        <i val="0"/>
        <color theme="1" tint="0.499984740745262"/>
      </font>
      <fill>
        <patternFill>
          <bgColor theme="2"/>
        </patternFill>
      </fill>
    </dxf>
    <dxf>
      <font>
        <b val="0"/>
        <i val="0"/>
        <color theme="1"/>
      </font>
    </dxf>
    <dxf>
      <font>
        <b val="0"/>
        <i val="0"/>
        <color theme="1" tint="0.499984740745262"/>
      </font>
      <fill>
        <patternFill>
          <bgColor theme="2"/>
        </patternFill>
      </fill>
    </dxf>
    <dxf>
      <font>
        <b val="0"/>
        <i val="0"/>
        <color theme="1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0.499984740745262"/>
      </font>
      <fill>
        <patternFill>
          <bgColor theme="2"/>
        </patternFill>
      </fill>
    </dxf>
    <dxf>
      <font>
        <color theme="0" tint="-0.24994659260841701"/>
      </font>
      <fill>
        <patternFill>
          <bgColor theme="2"/>
        </patternFill>
      </fill>
    </dxf>
  </dxfs>
  <tableStyles count="0" defaultTableStyle="TableStyleMedium2" defaultPivotStyle="PivotStyleLight16"/>
  <colors>
    <mruColors>
      <color rgb="FF00FFFF"/>
      <color rgb="FF00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4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9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0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2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3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4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6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7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8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0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1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2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4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5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6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8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9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0.xml"/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2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3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4.xml"/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6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7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8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0.xml"/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1.xml"/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2.xml"/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Full Calibration Dataset 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246115238055016"/>
          <c:y val="0.16004309556928351"/>
          <c:w val="0.67721953959619652"/>
          <c:h val="0.668689205593479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90B-944C-83EA-31922477C316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90B-944C-83EA-31922477C316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190B-944C-83EA-31922477C316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190B-944C-83EA-31922477C316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190B-944C-83EA-31922477C31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190B-944C-83EA-31922477C316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3898-47C5-96CA-976FA07AC7AA}"/>
              </c:ext>
            </c:extLst>
          </c:dPt>
          <c:xVal>
            <c:numRef>
              <c:f>K!$G$2:$G$8</c:f>
              <c:numCache>
                <c:formatCode>0.000</c:formatCode>
                <c:ptCount val="7"/>
                <c:pt idx="0">
                  <c:v>125.146</c:v>
                </c:pt>
                <c:pt idx="1">
                  <c:v>225.86600000000001</c:v>
                </c:pt>
                <c:pt idx="2">
                  <c:v>308.77699999999999</c:v>
                </c:pt>
                <c:pt idx="3">
                  <c:v>491.25</c:v>
                </c:pt>
                <c:pt idx="4">
                  <c:v>860.15899999999999</c:v>
                </c:pt>
                <c:pt idx="5">
                  <c:v>1214.0360000000001</c:v>
                </c:pt>
                <c:pt idx="6">
                  <c:v>1578.1990000000001</c:v>
                </c:pt>
              </c:numCache>
            </c:numRef>
          </c:xVal>
          <c:yVal>
            <c:numRef>
              <c:f>K!$H$2:$H$8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98-47C5-96CA-976FA07AC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181280"/>
        <c:axId val="472991903"/>
      </c:scatterChart>
      <c:valAx>
        <c:axId val="53118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91903"/>
        <c:crosses val="autoZero"/>
        <c:crossBetween val="midCat"/>
      </c:valAx>
      <c:valAx>
        <c:axId val="47299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18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Calibration Curve - Range 1</a:t>
            </a:r>
          </a:p>
        </c:rich>
      </c:tx>
      <c:layout>
        <c:manualLayout>
          <c:xMode val="edge"/>
          <c:yMode val="edge"/>
          <c:x val="0.28739880119323996"/>
          <c:y val="2.4435482629642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501127005904316"/>
          <c:y val="0.16056271583232237"/>
          <c:w val="0.72303326592826456"/>
          <c:h val="0.6452820919338536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K!$G$2:$G$5</c:f>
              <c:numCache>
                <c:formatCode>0.000</c:formatCode>
                <c:ptCount val="4"/>
                <c:pt idx="0">
                  <c:v>125.146</c:v>
                </c:pt>
                <c:pt idx="1">
                  <c:v>225.86600000000001</c:v>
                </c:pt>
                <c:pt idx="2">
                  <c:v>308.77699999999999</c:v>
                </c:pt>
                <c:pt idx="3">
                  <c:v>491.25</c:v>
                </c:pt>
              </c:numCache>
            </c:numRef>
          </c:xVal>
          <c:yVal>
            <c:numRef>
              <c:f>K!$H$2:$H$5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EF-4EDE-B732-61206FC47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548320"/>
        <c:axId val="618556272"/>
      </c:scatterChart>
      <c:valAx>
        <c:axId val="32054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556272"/>
        <c:crosses val="autoZero"/>
        <c:crossBetween val="midCat"/>
        <c:majorUnit val="100"/>
      </c:valAx>
      <c:valAx>
        <c:axId val="61855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  <a:r>
              <a:rPr lang="en-US" baseline="0"/>
              <a:t> Curve - Range 2</a:t>
            </a:r>
            <a:endParaRPr lang="en-US"/>
          </a:p>
        </c:rich>
      </c:tx>
      <c:layout>
        <c:manualLayout>
          <c:xMode val="edge"/>
          <c:yMode val="edge"/>
          <c:x val="0.29789853595137677"/>
          <c:y val="2.4527262760694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118723003019839"/>
          <c:y val="0.15280958110595469"/>
          <c:w val="0.74197656120589695"/>
          <c:h val="0.657571730173071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83B-FC47-822B-92232E71443A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K!$G$6:$G$8</c:f>
              <c:numCache>
                <c:formatCode>0.000</c:formatCode>
                <c:ptCount val="3"/>
                <c:pt idx="0">
                  <c:v>860.15899999999999</c:v>
                </c:pt>
                <c:pt idx="1">
                  <c:v>1214.0360000000001</c:v>
                </c:pt>
                <c:pt idx="2">
                  <c:v>1578.1990000000001</c:v>
                </c:pt>
              </c:numCache>
            </c:numRef>
          </c:xVal>
          <c:yVal>
            <c:numRef>
              <c:f>K!$H$6:$H$8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F3-4043-B97E-33D6F3A42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792944"/>
        <c:axId val="468877583"/>
      </c:scatterChart>
      <c:valAx>
        <c:axId val="60679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877583"/>
        <c:crosses val="autoZero"/>
        <c:crossBetween val="midCat"/>
      </c:valAx>
      <c:valAx>
        <c:axId val="46887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79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Full Calibration Dataset 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246115238055016"/>
          <c:y val="0.16004309556928351"/>
          <c:w val="0.67721953959619652"/>
          <c:h val="0.668689205593479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E68-CD4B-A49B-7B2915EACE07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E68-CD4B-A49B-7B2915EACE07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E68-CD4B-A49B-7B2915EACE07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E68-CD4B-A49B-7B2915EACE07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5E68-CD4B-A49B-7B2915EACE07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5E68-CD4B-A49B-7B2915EACE07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5E68-CD4B-A49B-7B2915EACE07}"/>
              </c:ext>
            </c:extLst>
          </c:dPt>
          <c:xVal>
            <c:numRef>
              <c:f>Ca!$G$2:$G$8</c:f>
              <c:numCache>
                <c:formatCode>0.000</c:formatCode>
                <c:ptCount val="7"/>
                <c:pt idx="0">
                  <c:v>206.2861</c:v>
                </c:pt>
                <c:pt idx="1">
                  <c:v>307.00590699999998</c:v>
                </c:pt>
                <c:pt idx="2">
                  <c:v>389.91666500000002</c:v>
                </c:pt>
                <c:pt idx="3">
                  <c:v>572.38969999999995</c:v>
                </c:pt>
                <c:pt idx="4">
                  <c:v>941.29921100000001</c:v>
                </c:pt>
                <c:pt idx="5">
                  <c:v>1295.17641</c:v>
                </c:pt>
                <c:pt idx="6">
                  <c:v>1659.33943</c:v>
                </c:pt>
              </c:numCache>
            </c:numRef>
          </c:xVal>
          <c:yVal>
            <c:numRef>
              <c:f>Ca!$H$2:$H$8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E68-CD4B-A49B-7B2915EAC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181280"/>
        <c:axId val="472991903"/>
      </c:scatterChart>
      <c:valAx>
        <c:axId val="53118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91903"/>
        <c:crosses val="autoZero"/>
        <c:crossBetween val="midCat"/>
      </c:valAx>
      <c:valAx>
        <c:axId val="47299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18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Calibration Curve - Range 1</a:t>
            </a:r>
          </a:p>
        </c:rich>
      </c:tx>
      <c:layout>
        <c:manualLayout>
          <c:xMode val="edge"/>
          <c:yMode val="edge"/>
          <c:x val="0.28739880119323996"/>
          <c:y val="2.4435482629642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501127005904316"/>
          <c:y val="0.16056271583232237"/>
          <c:w val="0.72303326592826456"/>
          <c:h val="0.6452820919338536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Ca!$G$2:$G$4</c:f>
              <c:numCache>
                <c:formatCode>0.000</c:formatCode>
                <c:ptCount val="3"/>
                <c:pt idx="0">
                  <c:v>206.2861</c:v>
                </c:pt>
                <c:pt idx="1">
                  <c:v>307.00590699999998</c:v>
                </c:pt>
                <c:pt idx="2">
                  <c:v>389.91666500000002</c:v>
                </c:pt>
              </c:numCache>
            </c:numRef>
          </c:xVal>
          <c:yVal>
            <c:numRef>
              <c:f>Ca!$H$2:$H$4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38-424B-8573-2A9BFD1C0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548320"/>
        <c:axId val="618556272"/>
      </c:scatterChart>
      <c:valAx>
        <c:axId val="32054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556272"/>
        <c:crosses val="autoZero"/>
        <c:crossBetween val="midCat"/>
        <c:majorUnit val="100"/>
      </c:valAx>
      <c:valAx>
        <c:axId val="61855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  <a:r>
              <a:rPr lang="en-US" baseline="0"/>
              <a:t> Curve - Range 2</a:t>
            </a:r>
            <a:endParaRPr lang="en-US"/>
          </a:p>
        </c:rich>
      </c:tx>
      <c:layout>
        <c:manualLayout>
          <c:xMode val="edge"/>
          <c:yMode val="edge"/>
          <c:x val="0.29789853595137677"/>
          <c:y val="2.4527262760694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118723003019839"/>
          <c:y val="0.15280958110595469"/>
          <c:w val="0.74197656120589695"/>
          <c:h val="0.657571730173071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CF2-764F-BC1C-ED7FD8B67316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Ca!$G$5:$G$8</c:f>
              <c:numCache>
                <c:formatCode>0.000</c:formatCode>
                <c:ptCount val="4"/>
                <c:pt idx="0">
                  <c:v>572.38969999999995</c:v>
                </c:pt>
                <c:pt idx="1">
                  <c:v>941.29921100000001</c:v>
                </c:pt>
                <c:pt idx="2">
                  <c:v>1295.17641</c:v>
                </c:pt>
                <c:pt idx="3">
                  <c:v>1659.33943</c:v>
                </c:pt>
              </c:numCache>
            </c:numRef>
          </c:xVal>
          <c:yVal>
            <c:numRef>
              <c:f>Ca!$H$5:$H$8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F2-764F-BC1C-ED7FD8B67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792944"/>
        <c:axId val="468877583"/>
      </c:scatterChart>
      <c:valAx>
        <c:axId val="60679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877583"/>
        <c:crosses val="autoZero"/>
        <c:crossBetween val="midCat"/>
      </c:valAx>
      <c:valAx>
        <c:axId val="46887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79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Full Calibration Dataset 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246115238055016"/>
          <c:y val="0.16004309556928351"/>
          <c:w val="0.67721953959619652"/>
          <c:h val="0.668689205593479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1">
                    <a:lumMod val="50000"/>
                    <a:lumOff val="50000"/>
                  </a:schemeClr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C7C-2145-A366-362CE6114CEC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C7C-2145-A366-362CE6114CEC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C7C-2145-A366-362CE6114CEC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8C7C-2145-A366-362CE6114CEC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C7C-2145-A366-362CE6114CEC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C7C-2145-A366-362CE6114CEC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8C7C-2145-A366-362CE6114CEC}"/>
              </c:ext>
            </c:extLst>
          </c:dPt>
          <c:xVal>
            <c:numRef>
              <c:f>V!$G$2:$G$8</c:f>
              <c:numCache>
                <c:formatCode>0.000</c:formatCode>
                <c:ptCount val="7"/>
                <c:pt idx="0">
                  <c:v>0</c:v>
                </c:pt>
                <c:pt idx="1">
                  <c:v>10.07198</c:v>
                </c:pt>
                <c:pt idx="2">
                  <c:v>18.363060000000001</c:v>
                </c:pt>
                <c:pt idx="3">
                  <c:v>36.61036</c:v>
                </c:pt>
                <c:pt idx="4">
                  <c:v>73.501310000000004</c:v>
                </c:pt>
                <c:pt idx="5">
                  <c:v>108.889</c:v>
                </c:pt>
                <c:pt idx="6">
                  <c:v>145.30529999999999</c:v>
                </c:pt>
              </c:numCache>
            </c:numRef>
          </c:xVal>
          <c:yVal>
            <c:numRef>
              <c:f>V!$H$2:$H$8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C7C-2145-A366-362CE6114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181280"/>
        <c:axId val="472991903"/>
      </c:scatterChart>
      <c:valAx>
        <c:axId val="53118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91903"/>
        <c:crosses val="autoZero"/>
        <c:crossBetween val="midCat"/>
      </c:valAx>
      <c:valAx>
        <c:axId val="47299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18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Calibration Curve - Range 1</a:t>
            </a:r>
          </a:p>
        </c:rich>
      </c:tx>
      <c:layout>
        <c:manualLayout>
          <c:xMode val="edge"/>
          <c:yMode val="edge"/>
          <c:x val="0.28739880119323996"/>
          <c:y val="2.4435482629642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501127005904316"/>
          <c:y val="0.16056271583232237"/>
          <c:w val="0.72303326592826456"/>
          <c:h val="0.6452820919338536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V!$G$3:$G$5</c:f>
              <c:numCache>
                <c:formatCode>0.000</c:formatCode>
                <c:ptCount val="3"/>
                <c:pt idx="0">
                  <c:v>10.07198</c:v>
                </c:pt>
                <c:pt idx="1">
                  <c:v>18.363060000000001</c:v>
                </c:pt>
                <c:pt idx="2">
                  <c:v>36.61036</c:v>
                </c:pt>
              </c:numCache>
            </c:numRef>
          </c:xVal>
          <c:yVal>
            <c:numRef>
              <c:f>V!$H$3:$H$5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2E-D34A-949B-89882D34F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548320"/>
        <c:axId val="618556272"/>
      </c:scatterChart>
      <c:valAx>
        <c:axId val="32054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556272"/>
        <c:crosses val="autoZero"/>
        <c:crossBetween val="midCat"/>
        <c:majorUnit val="100"/>
      </c:valAx>
      <c:valAx>
        <c:axId val="61855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  <a:r>
              <a:rPr lang="en-US" baseline="0"/>
              <a:t> Curve - Range 2</a:t>
            </a:r>
            <a:endParaRPr lang="en-US"/>
          </a:p>
        </c:rich>
      </c:tx>
      <c:layout>
        <c:manualLayout>
          <c:xMode val="edge"/>
          <c:yMode val="edge"/>
          <c:x val="0.29789853595137677"/>
          <c:y val="2.4527262760694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118723003019839"/>
          <c:y val="0.15280958110595469"/>
          <c:w val="0.74197656120589695"/>
          <c:h val="0.657571730173071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662-DC49-B382-7DC83934D068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V!$G$6:$G$8</c:f>
              <c:numCache>
                <c:formatCode>0.000</c:formatCode>
                <c:ptCount val="3"/>
                <c:pt idx="0">
                  <c:v>73.501310000000004</c:v>
                </c:pt>
                <c:pt idx="1">
                  <c:v>108.889</c:v>
                </c:pt>
                <c:pt idx="2">
                  <c:v>145.30529999999999</c:v>
                </c:pt>
              </c:numCache>
            </c:numRef>
          </c:xVal>
          <c:yVal>
            <c:numRef>
              <c:f>V!$H$6:$H$8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E9-554A-8839-553CDDCE4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792944"/>
        <c:axId val="468877583"/>
      </c:scatterChart>
      <c:valAx>
        <c:axId val="60679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877583"/>
        <c:crosses val="autoZero"/>
        <c:crossBetween val="midCat"/>
      </c:valAx>
      <c:valAx>
        <c:axId val="46887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79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Full Calibration Dataset 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246115238055016"/>
          <c:y val="0.16004309556928351"/>
          <c:w val="0.67721953959619652"/>
          <c:h val="0.668689205593479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F6F-6A4D-BB3D-56C0C6DD8503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F6F-6A4D-BB3D-56C0C6DD8503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F6F-6A4D-BB3D-56C0C6DD8503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8F6F-6A4D-BB3D-56C0C6DD8503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F6F-6A4D-BB3D-56C0C6DD8503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F6F-6A4D-BB3D-56C0C6DD8503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8F6F-6A4D-BB3D-56C0C6DD8503}"/>
              </c:ext>
            </c:extLst>
          </c:dPt>
          <c:xVal>
            <c:numRef>
              <c:f>Cr!$G$2:$G$8</c:f>
              <c:numCache>
                <c:formatCode>0.000</c:formatCode>
                <c:ptCount val="7"/>
                <c:pt idx="0">
                  <c:v>6.4965000000000002</c:v>
                </c:pt>
                <c:pt idx="1">
                  <c:v>16.568480000000001</c:v>
                </c:pt>
                <c:pt idx="2">
                  <c:v>24.859559999999998</c:v>
                </c:pt>
                <c:pt idx="3">
                  <c:v>43.106859999999998</c:v>
                </c:pt>
                <c:pt idx="4">
                  <c:v>79.997810000000001</c:v>
                </c:pt>
                <c:pt idx="5">
                  <c:v>115.38549999999999</c:v>
                </c:pt>
                <c:pt idx="6">
                  <c:v>151.80179999999999</c:v>
                </c:pt>
              </c:numCache>
            </c:numRef>
          </c:xVal>
          <c:yVal>
            <c:numRef>
              <c:f>Cr!$H$2:$H$8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F6F-6A4D-BB3D-56C0C6DD8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181280"/>
        <c:axId val="472991903"/>
      </c:scatterChart>
      <c:valAx>
        <c:axId val="53118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91903"/>
        <c:crosses val="autoZero"/>
        <c:crossBetween val="midCat"/>
      </c:valAx>
      <c:valAx>
        <c:axId val="47299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18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Calibration Curve - Range 1</a:t>
            </a:r>
          </a:p>
        </c:rich>
      </c:tx>
      <c:layout>
        <c:manualLayout>
          <c:xMode val="edge"/>
          <c:yMode val="edge"/>
          <c:x val="0.28739880119323996"/>
          <c:y val="2.4435482629642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501127005904316"/>
          <c:y val="0.16056271583232237"/>
          <c:w val="0.72303326592826456"/>
          <c:h val="0.6452820919338536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Cr!$G$2:$G$5</c:f>
              <c:numCache>
                <c:formatCode>0.000</c:formatCode>
                <c:ptCount val="4"/>
                <c:pt idx="0">
                  <c:v>6.4965000000000002</c:v>
                </c:pt>
                <c:pt idx="1">
                  <c:v>16.568480000000001</c:v>
                </c:pt>
                <c:pt idx="2">
                  <c:v>24.859559999999998</c:v>
                </c:pt>
                <c:pt idx="3">
                  <c:v>43.106859999999998</c:v>
                </c:pt>
              </c:numCache>
            </c:numRef>
          </c:xVal>
          <c:yVal>
            <c:numRef>
              <c:f>Cr!$H$2:$H$5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E8-D543-BBBB-0C8201485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548320"/>
        <c:axId val="618556272"/>
      </c:scatterChart>
      <c:valAx>
        <c:axId val="32054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556272"/>
        <c:crosses val="autoZero"/>
        <c:crossBetween val="midCat"/>
        <c:majorUnit val="100"/>
      </c:valAx>
      <c:valAx>
        <c:axId val="61855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  <a:r>
              <a:rPr lang="en-US" baseline="0"/>
              <a:t> Curve - Range 2</a:t>
            </a:r>
            <a:endParaRPr lang="en-US"/>
          </a:p>
        </c:rich>
      </c:tx>
      <c:layout>
        <c:manualLayout>
          <c:xMode val="edge"/>
          <c:yMode val="edge"/>
          <c:x val="0.29789853595137677"/>
          <c:y val="2.4527262760694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118723003019839"/>
          <c:y val="0.15280958110595469"/>
          <c:w val="0.74197656120589695"/>
          <c:h val="0.657571730173071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7BF-9F41-969D-629409BB1152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Cr!$G$6:$G$8</c:f>
              <c:numCache>
                <c:formatCode>0.000</c:formatCode>
                <c:ptCount val="3"/>
                <c:pt idx="0">
                  <c:v>79.997810000000001</c:v>
                </c:pt>
                <c:pt idx="1">
                  <c:v>115.38549999999999</c:v>
                </c:pt>
                <c:pt idx="2">
                  <c:v>151.80179999999999</c:v>
                </c:pt>
              </c:numCache>
            </c:numRef>
          </c:xVal>
          <c:yVal>
            <c:numRef>
              <c:f>Cr!$H$6:$H$8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BF-9F41-969D-629409BB1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792944"/>
        <c:axId val="468877583"/>
      </c:scatterChart>
      <c:valAx>
        <c:axId val="60679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877583"/>
        <c:crosses val="autoZero"/>
        <c:crossBetween val="midCat"/>
      </c:valAx>
      <c:valAx>
        <c:axId val="46887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79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Full Calibration Dataset 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246115238055016"/>
          <c:y val="0.16004309556928351"/>
          <c:w val="0.67721953959619652"/>
          <c:h val="0.668689205593479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1">
                    <a:lumMod val="50000"/>
                    <a:lumOff val="50000"/>
                  </a:schemeClr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B87-5549-9173-7702E1F17BB7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B87-5549-9173-7702E1F17BB7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B87-5549-9173-7702E1F17BB7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B87-5549-9173-7702E1F17BB7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B87-5549-9173-7702E1F17BB7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B87-5549-9173-7702E1F17BB7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AB87-5549-9173-7702E1F17BB7}"/>
              </c:ext>
            </c:extLst>
          </c:dPt>
          <c:xVal>
            <c:numRef>
              <c:f>Mn!$G$2:$G$8</c:f>
              <c:numCache>
                <c:formatCode>0.000</c:formatCode>
                <c:ptCount val="7"/>
                <c:pt idx="0">
                  <c:v>0</c:v>
                </c:pt>
                <c:pt idx="1">
                  <c:v>10.07198</c:v>
                </c:pt>
                <c:pt idx="2">
                  <c:v>18.363060000000001</c:v>
                </c:pt>
                <c:pt idx="3">
                  <c:v>36.61036</c:v>
                </c:pt>
                <c:pt idx="4">
                  <c:v>73.501310000000004</c:v>
                </c:pt>
                <c:pt idx="5">
                  <c:v>108.889</c:v>
                </c:pt>
                <c:pt idx="6">
                  <c:v>145.30529999999999</c:v>
                </c:pt>
              </c:numCache>
            </c:numRef>
          </c:xVal>
          <c:yVal>
            <c:numRef>
              <c:f>Mn!$H$2:$H$8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B87-5549-9173-7702E1F17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181280"/>
        <c:axId val="472991903"/>
      </c:scatterChart>
      <c:valAx>
        <c:axId val="53118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91903"/>
        <c:crosses val="autoZero"/>
        <c:crossBetween val="midCat"/>
      </c:valAx>
      <c:valAx>
        <c:axId val="47299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18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Calibration Curve - Range 1</a:t>
            </a:r>
          </a:p>
        </c:rich>
      </c:tx>
      <c:layout>
        <c:manualLayout>
          <c:xMode val="edge"/>
          <c:yMode val="edge"/>
          <c:x val="0.28739880119323996"/>
          <c:y val="2.4435482629642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501127005904316"/>
          <c:y val="0.16056271583232237"/>
          <c:w val="0.72303326592826456"/>
          <c:h val="0.6452820919338536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Mn!$G$3:$G$5</c:f>
              <c:numCache>
                <c:formatCode>0.000</c:formatCode>
                <c:ptCount val="3"/>
                <c:pt idx="0">
                  <c:v>10.07198</c:v>
                </c:pt>
                <c:pt idx="1">
                  <c:v>18.363060000000001</c:v>
                </c:pt>
                <c:pt idx="2">
                  <c:v>36.61036</c:v>
                </c:pt>
              </c:numCache>
            </c:numRef>
          </c:xVal>
          <c:yVal>
            <c:numRef>
              <c:f>Mn!$H$3:$H$5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F3-844D-9CFB-0A93AF2E7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548320"/>
        <c:axId val="618556272"/>
      </c:scatterChart>
      <c:valAx>
        <c:axId val="32054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556272"/>
        <c:crosses val="autoZero"/>
        <c:crossBetween val="midCat"/>
        <c:majorUnit val="100"/>
      </c:valAx>
      <c:valAx>
        <c:axId val="61855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  <a:r>
              <a:rPr lang="en-US" baseline="0"/>
              <a:t> Curve - Range 2</a:t>
            </a:r>
            <a:endParaRPr lang="en-US"/>
          </a:p>
        </c:rich>
      </c:tx>
      <c:layout>
        <c:manualLayout>
          <c:xMode val="edge"/>
          <c:yMode val="edge"/>
          <c:x val="0.29789853595137677"/>
          <c:y val="2.4527262760694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118723003019839"/>
          <c:y val="0.15280958110595469"/>
          <c:w val="0.74197656120589695"/>
          <c:h val="0.657571730173071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400-E94C-B442-FBE67D868BDF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Mn!$G$6:$G$8</c:f>
              <c:numCache>
                <c:formatCode>0.000</c:formatCode>
                <c:ptCount val="3"/>
                <c:pt idx="0">
                  <c:v>73.501310000000004</c:v>
                </c:pt>
                <c:pt idx="1">
                  <c:v>108.889</c:v>
                </c:pt>
                <c:pt idx="2">
                  <c:v>145.30529999999999</c:v>
                </c:pt>
              </c:numCache>
            </c:numRef>
          </c:xVal>
          <c:yVal>
            <c:numRef>
              <c:f>Mn!$H$6:$H$8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00-E94C-B442-FBE67D868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792944"/>
        <c:axId val="468877583"/>
      </c:scatterChart>
      <c:valAx>
        <c:axId val="60679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877583"/>
        <c:crosses val="autoZero"/>
        <c:crossBetween val="midCat"/>
      </c:valAx>
      <c:valAx>
        <c:axId val="46887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79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Full Calibration Dataset 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246115238055016"/>
          <c:y val="0.16004309556928351"/>
          <c:w val="0.67721953959619652"/>
          <c:h val="0.668689205593479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D8B-E846-9BFB-291D8EF016E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D8B-E846-9BFB-291D8EF016E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D8B-E846-9BFB-291D8EF016E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8B-E846-9BFB-291D8EF016E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D8B-E846-9BFB-291D8EF016E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D8B-E846-9BFB-291D8EF016E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BD8B-E846-9BFB-291D8EF016EF}"/>
              </c:ext>
            </c:extLst>
          </c:dPt>
          <c:xVal>
            <c:numRef>
              <c:f>Fe!$G$2:$G$8</c:f>
              <c:numCache>
                <c:formatCode>0.000</c:formatCode>
                <c:ptCount val="7"/>
                <c:pt idx="0">
                  <c:v>34.79</c:v>
                </c:pt>
                <c:pt idx="1">
                  <c:v>135.50980000000001</c:v>
                </c:pt>
                <c:pt idx="2">
                  <c:v>218.42060000000001</c:v>
                </c:pt>
                <c:pt idx="3">
                  <c:v>400.89359999999999</c:v>
                </c:pt>
                <c:pt idx="4">
                  <c:v>769.80309999999997</c:v>
                </c:pt>
                <c:pt idx="5">
                  <c:v>1123.68</c:v>
                </c:pt>
                <c:pt idx="6">
                  <c:v>1487.8430000000001</c:v>
                </c:pt>
              </c:numCache>
            </c:numRef>
          </c:xVal>
          <c:yVal>
            <c:numRef>
              <c:f>Fe!$H$2:$H$8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D8B-E846-9BFB-291D8EF01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181280"/>
        <c:axId val="472991903"/>
      </c:scatterChart>
      <c:valAx>
        <c:axId val="53118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91903"/>
        <c:crosses val="autoZero"/>
        <c:crossBetween val="midCat"/>
      </c:valAx>
      <c:valAx>
        <c:axId val="47299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18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Calibration Curve - Range 1</a:t>
            </a:r>
          </a:p>
        </c:rich>
      </c:tx>
      <c:layout>
        <c:manualLayout>
          <c:xMode val="edge"/>
          <c:yMode val="edge"/>
          <c:x val="0.28739880119323996"/>
          <c:y val="2.4435482629642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501127005904316"/>
          <c:y val="0.16056271583232237"/>
          <c:w val="0.72303326592826456"/>
          <c:h val="0.6452820919338536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Fe!$G$2:$G$5</c:f>
              <c:numCache>
                <c:formatCode>0.000</c:formatCode>
                <c:ptCount val="4"/>
                <c:pt idx="0">
                  <c:v>34.79</c:v>
                </c:pt>
                <c:pt idx="1">
                  <c:v>135.50980000000001</c:v>
                </c:pt>
                <c:pt idx="2">
                  <c:v>218.42060000000001</c:v>
                </c:pt>
                <c:pt idx="3">
                  <c:v>400.89359999999999</c:v>
                </c:pt>
              </c:numCache>
            </c:numRef>
          </c:xVal>
          <c:yVal>
            <c:numRef>
              <c:f>Fe!$H$2:$H$5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8C-4742-95AA-8A095E71F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548320"/>
        <c:axId val="618556272"/>
      </c:scatterChart>
      <c:valAx>
        <c:axId val="32054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556272"/>
        <c:crosses val="autoZero"/>
        <c:crossBetween val="midCat"/>
        <c:majorUnit val="100"/>
      </c:valAx>
      <c:valAx>
        <c:axId val="61855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  <a:r>
              <a:rPr lang="en-US" baseline="0"/>
              <a:t> Curve - Range 2</a:t>
            </a:r>
            <a:endParaRPr lang="en-US"/>
          </a:p>
        </c:rich>
      </c:tx>
      <c:layout>
        <c:manualLayout>
          <c:xMode val="edge"/>
          <c:yMode val="edge"/>
          <c:x val="0.29789853595137677"/>
          <c:y val="2.4527262760694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118723003019839"/>
          <c:y val="0.15280958110595469"/>
          <c:w val="0.74197656120589695"/>
          <c:h val="0.657571730173071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674-7742-931C-65F76A5116A1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Fe!$G$6:$G$8</c:f>
              <c:numCache>
                <c:formatCode>0.000</c:formatCode>
                <c:ptCount val="3"/>
                <c:pt idx="0">
                  <c:v>769.80309999999997</c:v>
                </c:pt>
                <c:pt idx="1">
                  <c:v>1123.68</c:v>
                </c:pt>
                <c:pt idx="2">
                  <c:v>1487.8430000000001</c:v>
                </c:pt>
              </c:numCache>
            </c:numRef>
          </c:xVal>
          <c:yVal>
            <c:numRef>
              <c:f>Fe!$H$6:$H$8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74-7742-931C-65F76A511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792944"/>
        <c:axId val="468877583"/>
      </c:scatterChart>
      <c:valAx>
        <c:axId val="60679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877583"/>
        <c:crosses val="autoZero"/>
        <c:crossBetween val="midCat"/>
      </c:valAx>
      <c:valAx>
        <c:axId val="46887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79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Full Calibration Dataset 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246115238055016"/>
          <c:y val="0.16004309556928351"/>
          <c:w val="0.67721953959619652"/>
          <c:h val="0.668689205593479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1">
                    <a:lumMod val="50000"/>
                    <a:lumOff val="50000"/>
                  </a:schemeClr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A17-294E-B207-36830834B878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A17-294E-B207-36830834B878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A17-294E-B207-36830834B878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A17-294E-B207-36830834B878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A17-294E-B207-36830834B878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4A17-294E-B207-36830834B878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4A17-294E-B207-36830834B878}"/>
              </c:ext>
            </c:extLst>
          </c:dPt>
          <c:xVal>
            <c:numRef>
              <c:f>Co!$G$2:$G$8</c:f>
              <c:numCache>
                <c:formatCode>0.000</c:formatCode>
                <c:ptCount val="7"/>
                <c:pt idx="0">
                  <c:v>0</c:v>
                </c:pt>
                <c:pt idx="1">
                  <c:v>10.071980699999999</c:v>
                </c:pt>
                <c:pt idx="2">
                  <c:v>18.363056499999999</c:v>
                </c:pt>
                <c:pt idx="3">
                  <c:v>36.61036</c:v>
                </c:pt>
                <c:pt idx="4">
                  <c:v>73.501311099999995</c:v>
                </c:pt>
                <c:pt idx="5">
                  <c:v>108.889031</c:v>
                </c:pt>
                <c:pt idx="6">
                  <c:v>145.30533299999999</c:v>
                </c:pt>
              </c:numCache>
            </c:numRef>
          </c:xVal>
          <c:yVal>
            <c:numRef>
              <c:f>Co!$H$2:$H$8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A17-294E-B207-36830834B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181280"/>
        <c:axId val="472991903"/>
      </c:scatterChart>
      <c:valAx>
        <c:axId val="53118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91903"/>
        <c:crosses val="autoZero"/>
        <c:crossBetween val="midCat"/>
      </c:valAx>
      <c:valAx>
        <c:axId val="47299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18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Calibration Curve - Range 1</a:t>
            </a:r>
          </a:p>
        </c:rich>
      </c:tx>
      <c:layout>
        <c:manualLayout>
          <c:xMode val="edge"/>
          <c:yMode val="edge"/>
          <c:x val="0.28739880119323996"/>
          <c:y val="2.4435482629642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501127005904316"/>
          <c:y val="0.16056271583232237"/>
          <c:w val="0.72303326592826456"/>
          <c:h val="0.6452820919338536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Co!$G$3:$G$5</c:f>
              <c:numCache>
                <c:formatCode>0.000</c:formatCode>
                <c:ptCount val="3"/>
                <c:pt idx="0">
                  <c:v>10.071980699999999</c:v>
                </c:pt>
                <c:pt idx="1">
                  <c:v>18.363056499999999</c:v>
                </c:pt>
                <c:pt idx="2">
                  <c:v>36.61036</c:v>
                </c:pt>
              </c:numCache>
            </c:numRef>
          </c:xVal>
          <c:yVal>
            <c:numRef>
              <c:f>Co!$H$3:$H$5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98-FB44-A633-01ED2B514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548320"/>
        <c:axId val="618556272"/>
      </c:scatterChart>
      <c:valAx>
        <c:axId val="32054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556272"/>
        <c:crosses val="autoZero"/>
        <c:crossBetween val="midCat"/>
        <c:majorUnit val="100"/>
      </c:valAx>
      <c:valAx>
        <c:axId val="61855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  <a:r>
              <a:rPr lang="en-US" baseline="0"/>
              <a:t> Curve - Range 2</a:t>
            </a:r>
            <a:endParaRPr lang="en-US"/>
          </a:p>
        </c:rich>
      </c:tx>
      <c:layout>
        <c:manualLayout>
          <c:xMode val="edge"/>
          <c:yMode val="edge"/>
          <c:x val="0.29789853595137677"/>
          <c:y val="2.4527262760694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118723003019839"/>
          <c:y val="0.15280958110595469"/>
          <c:w val="0.74197656120589695"/>
          <c:h val="0.657571730173071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F892-1241-82E4-2D526C0E7BD1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Co!$G$6:$G$8</c:f>
              <c:numCache>
                <c:formatCode>0.000</c:formatCode>
                <c:ptCount val="3"/>
                <c:pt idx="0">
                  <c:v>73.501311099999995</c:v>
                </c:pt>
                <c:pt idx="1">
                  <c:v>108.889031</c:v>
                </c:pt>
                <c:pt idx="2">
                  <c:v>145.30533299999999</c:v>
                </c:pt>
              </c:numCache>
            </c:numRef>
          </c:xVal>
          <c:yVal>
            <c:numRef>
              <c:f>Co!$H$6:$H$8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92-1241-82E4-2D526C0E7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792944"/>
        <c:axId val="468877583"/>
      </c:scatterChart>
      <c:valAx>
        <c:axId val="60679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877583"/>
        <c:crosses val="autoZero"/>
        <c:crossBetween val="midCat"/>
      </c:valAx>
      <c:valAx>
        <c:axId val="46887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79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Full Calibration Dataset 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246115238055016"/>
          <c:y val="0.16004309556928351"/>
          <c:w val="0.67721953959619652"/>
          <c:h val="0.668689205593479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1">
                    <a:lumMod val="50000"/>
                    <a:lumOff val="50000"/>
                  </a:schemeClr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ED5-8745-9A4B-FA7097A15252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ED5-8745-9A4B-FA7097A1525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ED5-8745-9A4B-FA7097A1525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ED5-8745-9A4B-FA7097A15252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9ED5-8745-9A4B-FA7097A15252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9ED5-8745-9A4B-FA7097A15252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9ED5-8745-9A4B-FA7097A15252}"/>
              </c:ext>
            </c:extLst>
          </c:dPt>
          <c:xVal>
            <c:numRef>
              <c:f>Ni!$G$2:$G$8</c:f>
              <c:numCache>
                <c:formatCode>0.000</c:formatCode>
                <c:ptCount val="7"/>
                <c:pt idx="0">
                  <c:v>0.46100000000000002</c:v>
                </c:pt>
                <c:pt idx="1">
                  <c:v>10.53298</c:v>
                </c:pt>
                <c:pt idx="2">
                  <c:v>18.824059999999999</c:v>
                </c:pt>
                <c:pt idx="3">
                  <c:v>37.071359999999999</c:v>
                </c:pt>
                <c:pt idx="4">
                  <c:v>73.962310000000002</c:v>
                </c:pt>
                <c:pt idx="5">
                  <c:v>109.35</c:v>
                </c:pt>
                <c:pt idx="6">
                  <c:v>145.7663</c:v>
                </c:pt>
              </c:numCache>
            </c:numRef>
          </c:xVal>
          <c:yVal>
            <c:numRef>
              <c:f>Ni!$H$2:$H$8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ED5-8745-9A4B-FA7097A15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181280"/>
        <c:axId val="472991903"/>
      </c:scatterChart>
      <c:valAx>
        <c:axId val="53118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91903"/>
        <c:crosses val="autoZero"/>
        <c:crossBetween val="midCat"/>
      </c:valAx>
      <c:valAx>
        <c:axId val="47299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18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Calibration Curve - Range 1</a:t>
            </a:r>
          </a:p>
        </c:rich>
      </c:tx>
      <c:layout>
        <c:manualLayout>
          <c:xMode val="edge"/>
          <c:yMode val="edge"/>
          <c:x val="0.28739880119323996"/>
          <c:y val="2.4435482629642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501127005904316"/>
          <c:y val="0.16056271583232237"/>
          <c:w val="0.72303326592826456"/>
          <c:h val="0.6452820919338536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Ni!$G$3:$G$5</c:f>
              <c:numCache>
                <c:formatCode>0.000</c:formatCode>
                <c:ptCount val="3"/>
                <c:pt idx="0">
                  <c:v>10.53298</c:v>
                </c:pt>
                <c:pt idx="1">
                  <c:v>18.824059999999999</c:v>
                </c:pt>
                <c:pt idx="2">
                  <c:v>37.071359999999999</c:v>
                </c:pt>
              </c:numCache>
            </c:numRef>
          </c:xVal>
          <c:yVal>
            <c:numRef>
              <c:f>Ni!$H$3:$H$5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A7-194E-8FE3-68BA8B24E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548320"/>
        <c:axId val="618556272"/>
      </c:scatterChart>
      <c:valAx>
        <c:axId val="32054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556272"/>
        <c:crosses val="autoZero"/>
        <c:crossBetween val="midCat"/>
        <c:majorUnit val="100"/>
      </c:valAx>
      <c:valAx>
        <c:axId val="61855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  <a:r>
              <a:rPr lang="en-US" baseline="0"/>
              <a:t> Curve - Range 2</a:t>
            </a:r>
            <a:endParaRPr lang="en-US"/>
          </a:p>
        </c:rich>
      </c:tx>
      <c:layout>
        <c:manualLayout>
          <c:xMode val="edge"/>
          <c:yMode val="edge"/>
          <c:x val="0.29789853595137677"/>
          <c:y val="2.4527262760694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118723003019839"/>
          <c:y val="0.15280958110595469"/>
          <c:w val="0.74197656120589695"/>
          <c:h val="0.657571730173071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DE1-A04F-9EC0-24AC1A5BF7D6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Ni!$G$6:$G$8</c:f>
              <c:numCache>
                <c:formatCode>0.000</c:formatCode>
                <c:ptCount val="3"/>
                <c:pt idx="0">
                  <c:v>73.962310000000002</c:v>
                </c:pt>
                <c:pt idx="1">
                  <c:v>109.35</c:v>
                </c:pt>
                <c:pt idx="2">
                  <c:v>145.7663</c:v>
                </c:pt>
              </c:numCache>
            </c:numRef>
          </c:xVal>
          <c:yVal>
            <c:numRef>
              <c:f>Ni!$H$6:$H$8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E1-A04F-9EC0-24AC1A5BF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792944"/>
        <c:axId val="468877583"/>
      </c:scatterChart>
      <c:valAx>
        <c:axId val="60679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877583"/>
        <c:crosses val="autoZero"/>
        <c:crossBetween val="midCat"/>
      </c:valAx>
      <c:valAx>
        <c:axId val="46887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79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Full Calibration Dataset 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246115238055016"/>
          <c:y val="0.16004309556928351"/>
          <c:w val="0.67721953959619652"/>
          <c:h val="0.668689205593479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C8F-4442-8FB7-402E3797B5F0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C8F-4442-8FB7-402E3797B5F0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C8F-4442-8FB7-402E3797B5F0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C8F-4442-8FB7-402E3797B5F0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C8F-4442-8FB7-402E3797B5F0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2C8F-4442-8FB7-402E3797B5F0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2C8F-4442-8FB7-402E3797B5F0}"/>
              </c:ext>
            </c:extLst>
          </c:dPt>
          <c:xVal>
            <c:numRef>
              <c:f>Cu!$G$2:$G$8</c:f>
              <c:numCache>
                <c:formatCode>0.000</c:formatCode>
                <c:ptCount val="7"/>
                <c:pt idx="0">
                  <c:v>20.54</c:v>
                </c:pt>
                <c:pt idx="1">
                  <c:v>30.611979999999999</c:v>
                </c:pt>
                <c:pt idx="2">
                  <c:v>38.903060000000004</c:v>
                </c:pt>
                <c:pt idx="3">
                  <c:v>57.150359999999999</c:v>
                </c:pt>
                <c:pt idx="4">
                  <c:v>94.041309999999996</c:v>
                </c:pt>
                <c:pt idx="5">
                  <c:v>129.429</c:v>
                </c:pt>
                <c:pt idx="6">
                  <c:v>165.84530000000001</c:v>
                </c:pt>
              </c:numCache>
            </c:numRef>
          </c:xVal>
          <c:yVal>
            <c:numRef>
              <c:f>Cu!$H$2:$H$8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C8F-4442-8FB7-402E3797B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181280"/>
        <c:axId val="472991903"/>
      </c:scatterChart>
      <c:valAx>
        <c:axId val="53118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91903"/>
        <c:crosses val="autoZero"/>
        <c:crossBetween val="midCat"/>
      </c:valAx>
      <c:valAx>
        <c:axId val="47299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18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Calibration Curve - Range 1</a:t>
            </a:r>
          </a:p>
        </c:rich>
      </c:tx>
      <c:layout>
        <c:manualLayout>
          <c:xMode val="edge"/>
          <c:yMode val="edge"/>
          <c:x val="0.28739880119323996"/>
          <c:y val="2.4435482629642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501127005904316"/>
          <c:y val="0.16056271583232237"/>
          <c:w val="0.72303326592826456"/>
          <c:h val="0.6452820919338536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Cu!$G$2:$G$5</c:f>
              <c:numCache>
                <c:formatCode>0.000</c:formatCode>
                <c:ptCount val="4"/>
                <c:pt idx="0">
                  <c:v>20.54</c:v>
                </c:pt>
                <c:pt idx="1">
                  <c:v>30.611979999999999</c:v>
                </c:pt>
                <c:pt idx="2">
                  <c:v>38.903060000000004</c:v>
                </c:pt>
                <c:pt idx="3">
                  <c:v>57.150359999999999</c:v>
                </c:pt>
              </c:numCache>
            </c:numRef>
          </c:xVal>
          <c:yVal>
            <c:numRef>
              <c:f>Cu!$H$2:$H$5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58-7D49-995D-BD2D0BCA9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548320"/>
        <c:axId val="618556272"/>
      </c:scatterChart>
      <c:valAx>
        <c:axId val="32054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556272"/>
        <c:crosses val="autoZero"/>
        <c:crossBetween val="midCat"/>
        <c:majorUnit val="100"/>
      </c:valAx>
      <c:valAx>
        <c:axId val="61855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  <a:r>
              <a:rPr lang="en-US" baseline="0"/>
              <a:t> Curve - Range 2</a:t>
            </a:r>
            <a:endParaRPr lang="en-US"/>
          </a:p>
        </c:rich>
      </c:tx>
      <c:layout>
        <c:manualLayout>
          <c:xMode val="edge"/>
          <c:yMode val="edge"/>
          <c:x val="0.29789853595137677"/>
          <c:y val="2.4527262760694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118723003019839"/>
          <c:y val="0.15280958110595469"/>
          <c:w val="0.74197656120589695"/>
          <c:h val="0.657571730173071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8DA-1349-9073-C6FB0E0A49A6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Cu!$G$6:$G$8</c:f>
              <c:numCache>
                <c:formatCode>0.000</c:formatCode>
                <c:ptCount val="3"/>
                <c:pt idx="0">
                  <c:v>94.041309999999996</c:v>
                </c:pt>
                <c:pt idx="1">
                  <c:v>129.429</c:v>
                </c:pt>
                <c:pt idx="2">
                  <c:v>165.84530000000001</c:v>
                </c:pt>
              </c:numCache>
            </c:numRef>
          </c:xVal>
          <c:yVal>
            <c:numRef>
              <c:f>Cu!$H$6:$H$8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DA-1349-9073-C6FB0E0A4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792944"/>
        <c:axId val="468877583"/>
      </c:scatterChart>
      <c:valAx>
        <c:axId val="60679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877583"/>
        <c:crosses val="autoZero"/>
        <c:crossBetween val="midCat"/>
      </c:valAx>
      <c:valAx>
        <c:axId val="46887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79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Full Calibration Dataset 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246115238055016"/>
          <c:y val="0.16004309556928351"/>
          <c:w val="0.67721953959619652"/>
          <c:h val="0.668689205593479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1">
                    <a:lumMod val="50000"/>
                    <a:lumOff val="50000"/>
                  </a:schemeClr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BAA-1E48-853F-46D25C775343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BAA-1E48-853F-46D25C775343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BAA-1E48-853F-46D25C775343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BAA-1E48-853F-46D25C775343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BAA-1E48-853F-46D25C775343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BAA-1E48-853F-46D25C775343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BBAA-1E48-853F-46D25C775343}"/>
              </c:ext>
            </c:extLst>
          </c:dPt>
          <c:xVal>
            <c:numRef>
              <c:f>Zn!$G$2:$G$8</c:f>
              <c:numCache>
                <c:formatCode>0.000</c:formatCode>
                <c:ptCount val="7"/>
                <c:pt idx="0">
                  <c:v>0</c:v>
                </c:pt>
                <c:pt idx="1">
                  <c:v>10.07198</c:v>
                </c:pt>
                <c:pt idx="2">
                  <c:v>18.363060000000001</c:v>
                </c:pt>
                <c:pt idx="3">
                  <c:v>36.61036</c:v>
                </c:pt>
                <c:pt idx="4">
                  <c:v>73.501310000000004</c:v>
                </c:pt>
                <c:pt idx="5">
                  <c:v>108.889</c:v>
                </c:pt>
                <c:pt idx="6">
                  <c:v>145.30529999999999</c:v>
                </c:pt>
              </c:numCache>
            </c:numRef>
          </c:xVal>
          <c:yVal>
            <c:numRef>
              <c:f>Zn!$H$2:$H$8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BAA-1E48-853F-46D25C775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181280"/>
        <c:axId val="472991903"/>
      </c:scatterChart>
      <c:valAx>
        <c:axId val="53118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91903"/>
        <c:crosses val="autoZero"/>
        <c:crossBetween val="midCat"/>
      </c:valAx>
      <c:valAx>
        <c:axId val="47299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18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Calibration Curve - Range 1</a:t>
            </a:r>
          </a:p>
        </c:rich>
      </c:tx>
      <c:layout>
        <c:manualLayout>
          <c:xMode val="edge"/>
          <c:yMode val="edge"/>
          <c:x val="0.28739880119323996"/>
          <c:y val="2.4435482629642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501127005904316"/>
          <c:y val="0.16056271583232237"/>
          <c:w val="0.72303326592826456"/>
          <c:h val="0.6452820919338536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Zn!$G$3:$G$5</c:f>
              <c:numCache>
                <c:formatCode>0.000</c:formatCode>
                <c:ptCount val="3"/>
                <c:pt idx="0">
                  <c:v>10.07198</c:v>
                </c:pt>
                <c:pt idx="1">
                  <c:v>18.363060000000001</c:v>
                </c:pt>
                <c:pt idx="2">
                  <c:v>36.61036</c:v>
                </c:pt>
              </c:numCache>
            </c:numRef>
          </c:xVal>
          <c:yVal>
            <c:numRef>
              <c:f>Zn!$H$3:$H$5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37-DC46-91E1-52DEF621F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548320"/>
        <c:axId val="618556272"/>
      </c:scatterChart>
      <c:valAx>
        <c:axId val="32054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556272"/>
        <c:crosses val="autoZero"/>
        <c:crossBetween val="midCat"/>
        <c:majorUnit val="100"/>
      </c:valAx>
      <c:valAx>
        <c:axId val="61855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  <a:r>
              <a:rPr lang="en-US" baseline="0"/>
              <a:t> Curve - Range 2</a:t>
            </a:r>
            <a:endParaRPr lang="en-US"/>
          </a:p>
        </c:rich>
      </c:tx>
      <c:layout>
        <c:manualLayout>
          <c:xMode val="edge"/>
          <c:yMode val="edge"/>
          <c:x val="0.29789853595137677"/>
          <c:y val="2.4527262760694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118723003019839"/>
          <c:y val="0.15280958110595469"/>
          <c:w val="0.74197656120589695"/>
          <c:h val="0.657571730173071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805-D942-B0F0-FC9F64F7B891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Zn!$G$6:$G$8</c:f>
              <c:numCache>
                <c:formatCode>0.000</c:formatCode>
                <c:ptCount val="3"/>
                <c:pt idx="0">
                  <c:v>73.501310000000004</c:v>
                </c:pt>
                <c:pt idx="1">
                  <c:v>108.889</c:v>
                </c:pt>
                <c:pt idx="2">
                  <c:v>145.30529999999999</c:v>
                </c:pt>
              </c:numCache>
            </c:numRef>
          </c:xVal>
          <c:yVal>
            <c:numRef>
              <c:f>Zn!$H$6:$H$8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05-D942-B0F0-FC9F64F7B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792944"/>
        <c:axId val="468877583"/>
      </c:scatterChart>
      <c:valAx>
        <c:axId val="60679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877583"/>
        <c:crosses val="autoZero"/>
        <c:crossBetween val="midCat"/>
      </c:valAx>
      <c:valAx>
        <c:axId val="46887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79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Full Calibration Dataset 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246115238055016"/>
          <c:y val="0.16004309556928351"/>
          <c:w val="0.67721953959619652"/>
          <c:h val="0.668689205593479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1">
                    <a:lumMod val="50000"/>
                    <a:lumOff val="50000"/>
                  </a:schemeClr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3558-FB47-98B1-E3184423C6E4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3558-FB47-98B1-E3184423C6E4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3558-FB47-98B1-E3184423C6E4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3558-FB47-98B1-E3184423C6E4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3558-FB47-98B1-E3184423C6E4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3558-FB47-98B1-E3184423C6E4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3558-FB47-98B1-E3184423C6E4}"/>
              </c:ext>
            </c:extLst>
          </c:dPt>
          <c:xVal>
            <c:numRef>
              <c:f>Ga!$G$2:$G$8</c:f>
              <c:numCache>
                <c:formatCode>0.000</c:formatCode>
                <c:ptCount val="7"/>
                <c:pt idx="0">
                  <c:v>0</c:v>
                </c:pt>
                <c:pt idx="1">
                  <c:v>10.07198</c:v>
                </c:pt>
                <c:pt idx="2">
                  <c:v>18.363060000000001</c:v>
                </c:pt>
                <c:pt idx="3">
                  <c:v>36.61036</c:v>
                </c:pt>
                <c:pt idx="4">
                  <c:v>73.501310000000004</c:v>
                </c:pt>
                <c:pt idx="5">
                  <c:v>108.889</c:v>
                </c:pt>
                <c:pt idx="6">
                  <c:v>145.30529999999999</c:v>
                </c:pt>
              </c:numCache>
            </c:numRef>
          </c:xVal>
          <c:yVal>
            <c:numRef>
              <c:f>Ga!$H$2:$H$8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558-FB47-98B1-E3184423C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181280"/>
        <c:axId val="472991903"/>
      </c:scatterChart>
      <c:valAx>
        <c:axId val="53118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91903"/>
        <c:crosses val="autoZero"/>
        <c:crossBetween val="midCat"/>
      </c:valAx>
      <c:valAx>
        <c:axId val="47299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18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Calibration Curve - Range 1</a:t>
            </a:r>
          </a:p>
        </c:rich>
      </c:tx>
      <c:layout>
        <c:manualLayout>
          <c:xMode val="edge"/>
          <c:yMode val="edge"/>
          <c:x val="0.28739880119323996"/>
          <c:y val="2.4435482629642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501127005904316"/>
          <c:y val="0.16056271583232237"/>
          <c:w val="0.72303326592826456"/>
          <c:h val="0.6452820919338536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Ga!$G$3:$G$5</c:f>
              <c:numCache>
                <c:formatCode>0.000</c:formatCode>
                <c:ptCount val="3"/>
                <c:pt idx="0">
                  <c:v>10.07198</c:v>
                </c:pt>
                <c:pt idx="1">
                  <c:v>18.363060000000001</c:v>
                </c:pt>
                <c:pt idx="2">
                  <c:v>36.61036</c:v>
                </c:pt>
              </c:numCache>
            </c:numRef>
          </c:xVal>
          <c:yVal>
            <c:numRef>
              <c:f>Ga!$H$3:$H$5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0E-4447-8937-F152FA0BE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548320"/>
        <c:axId val="618556272"/>
      </c:scatterChart>
      <c:valAx>
        <c:axId val="32054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556272"/>
        <c:crosses val="autoZero"/>
        <c:crossBetween val="midCat"/>
        <c:majorUnit val="100"/>
      </c:valAx>
      <c:valAx>
        <c:axId val="61855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  <a:r>
              <a:rPr lang="en-US" baseline="0"/>
              <a:t> Curve - Range 2</a:t>
            </a:r>
            <a:endParaRPr lang="en-US"/>
          </a:p>
        </c:rich>
      </c:tx>
      <c:layout>
        <c:manualLayout>
          <c:xMode val="edge"/>
          <c:yMode val="edge"/>
          <c:x val="0.29789853595137677"/>
          <c:y val="2.4527262760694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118723003019839"/>
          <c:y val="0.15280958110595469"/>
          <c:w val="0.74197656120589695"/>
          <c:h val="0.657571730173071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EAA-D74F-B5DA-5488C9E77779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Ga!$G$6:$G$8</c:f>
              <c:numCache>
                <c:formatCode>0.000</c:formatCode>
                <c:ptCount val="3"/>
                <c:pt idx="0">
                  <c:v>73.501310000000004</c:v>
                </c:pt>
                <c:pt idx="1">
                  <c:v>108.889</c:v>
                </c:pt>
                <c:pt idx="2">
                  <c:v>145.30529999999999</c:v>
                </c:pt>
              </c:numCache>
            </c:numRef>
          </c:xVal>
          <c:yVal>
            <c:numRef>
              <c:f>Ga!$H$6:$H$8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AA-D74F-B5DA-5488C9E77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792944"/>
        <c:axId val="468877583"/>
      </c:scatterChart>
      <c:valAx>
        <c:axId val="60679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877583"/>
        <c:crosses val="autoZero"/>
        <c:crossBetween val="midCat"/>
      </c:valAx>
      <c:valAx>
        <c:axId val="46887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79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Full Calibration Dataset 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246115238055016"/>
          <c:y val="0.16004309556928351"/>
          <c:w val="0.67721953959619652"/>
          <c:h val="0.668689205593479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1">
                    <a:lumMod val="50000"/>
                    <a:lumOff val="50000"/>
                  </a:schemeClr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DC2-244E-BD50-2A7ACE948D4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DC2-244E-BD50-2A7ACE948D4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EDC2-244E-BD50-2A7ACE948D4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EDC2-244E-BD50-2A7ACE948D4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EDC2-244E-BD50-2A7ACE948D4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EDC2-244E-BD50-2A7ACE948D4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EDC2-244E-BD50-2A7ACE948D4F}"/>
              </c:ext>
            </c:extLst>
          </c:dPt>
          <c:xVal>
            <c:numRef>
              <c:f>Rb!$G$2:$G$8</c:f>
              <c:numCache>
                <c:formatCode>0.000</c:formatCode>
                <c:ptCount val="7"/>
                <c:pt idx="0">
                  <c:v>0</c:v>
                </c:pt>
                <c:pt idx="1">
                  <c:v>10.07198</c:v>
                </c:pt>
                <c:pt idx="2">
                  <c:v>18.363060000000001</c:v>
                </c:pt>
                <c:pt idx="3">
                  <c:v>36.61036</c:v>
                </c:pt>
                <c:pt idx="4">
                  <c:v>73.501310000000004</c:v>
                </c:pt>
                <c:pt idx="5">
                  <c:v>108.889</c:v>
                </c:pt>
                <c:pt idx="6">
                  <c:v>145.30529999999999</c:v>
                </c:pt>
              </c:numCache>
            </c:numRef>
          </c:xVal>
          <c:yVal>
            <c:numRef>
              <c:f>Rb!$H$2:$H$8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DC2-244E-BD50-2A7ACE948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181280"/>
        <c:axId val="472991903"/>
      </c:scatterChart>
      <c:valAx>
        <c:axId val="53118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91903"/>
        <c:crosses val="autoZero"/>
        <c:crossBetween val="midCat"/>
      </c:valAx>
      <c:valAx>
        <c:axId val="47299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18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Calibration Curve - Range 1</a:t>
            </a:r>
          </a:p>
        </c:rich>
      </c:tx>
      <c:layout>
        <c:manualLayout>
          <c:xMode val="edge"/>
          <c:yMode val="edge"/>
          <c:x val="0.28739880119323996"/>
          <c:y val="2.4435482629642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501127005904316"/>
          <c:y val="0.16056271583232237"/>
          <c:w val="0.72303326592826456"/>
          <c:h val="0.6452820919338536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Rb!$G$3:$G$5</c:f>
              <c:numCache>
                <c:formatCode>0.000</c:formatCode>
                <c:ptCount val="3"/>
                <c:pt idx="0">
                  <c:v>10.07198</c:v>
                </c:pt>
                <c:pt idx="1">
                  <c:v>18.363060000000001</c:v>
                </c:pt>
                <c:pt idx="2">
                  <c:v>36.61036</c:v>
                </c:pt>
              </c:numCache>
            </c:numRef>
          </c:xVal>
          <c:yVal>
            <c:numRef>
              <c:f>Rb!$H$3:$H$5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E0-3347-B058-25D3B3B64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548320"/>
        <c:axId val="618556272"/>
      </c:scatterChart>
      <c:valAx>
        <c:axId val="32054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556272"/>
        <c:crosses val="autoZero"/>
        <c:crossBetween val="midCat"/>
        <c:majorUnit val="100"/>
      </c:valAx>
      <c:valAx>
        <c:axId val="61855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  <a:r>
              <a:rPr lang="en-US" baseline="0"/>
              <a:t> Curve - Range 2</a:t>
            </a:r>
            <a:endParaRPr lang="en-US"/>
          </a:p>
        </c:rich>
      </c:tx>
      <c:layout>
        <c:manualLayout>
          <c:xMode val="edge"/>
          <c:yMode val="edge"/>
          <c:x val="0.29789853595137677"/>
          <c:y val="2.4527262760694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118723003019839"/>
          <c:y val="0.15280958110595469"/>
          <c:w val="0.74197656120589695"/>
          <c:h val="0.657571730173071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991-FA41-8F83-D526116C2114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Rb!$G$6:$G$8</c:f>
              <c:numCache>
                <c:formatCode>0.000</c:formatCode>
                <c:ptCount val="3"/>
                <c:pt idx="0">
                  <c:v>73.501310000000004</c:v>
                </c:pt>
                <c:pt idx="1">
                  <c:v>108.889</c:v>
                </c:pt>
                <c:pt idx="2">
                  <c:v>145.30529999999999</c:v>
                </c:pt>
              </c:numCache>
            </c:numRef>
          </c:xVal>
          <c:yVal>
            <c:numRef>
              <c:f>Rb!$H$6:$H$8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91-FA41-8F83-D526116C2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792944"/>
        <c:axId val="468877583"/>
      </c:scatterChart>
      <c:valAx>
        <c:axId val="60679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877583"/>
        <c:crosses val="autoZero"/>
        <c:crossBetween val="midCat"/>
      </c:valAx>
      <c:valAx>
        <c:axId val="46887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79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Full Calibration Dataset 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246115238055016"/>
          <c:y val="0.16004309556928351"/>
          <c:w val="0.67721953959619652"/>
          <c:h val="0.668689205593479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1">
                    <a:lumMod val="50000"/>
                    <a:lumOff val="50000"/>
                  </a:schemeClr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3462-8245-A4D8-1088EFEC88DA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3462-8245-A4D8-1088EFEC88DA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3462-8245-A4D8-1088EFEC88DA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3462-8245-A4D8-1088EFEC88DA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3462-8245-A4D8-1088EFEC88DA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3462-8245-A4D8-1088EFEC88DA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3462-8245-A4D8-1088EFEC88DA}"/>
              </c:ext>
            </c:extLst>
          </c:dPt>
          <c:xVal>
            <c:numRef>
              <c:f>Sr!$G$2:$G$8</c:f>
              <c:numCache>
                <c:formatCode>0.000</c:formatCode>
                <c:ptCount val="7"/>
                <c:pt idx="0">
                  <c:v>0</c:v>
                </c:pt>
                <c:pt idx="1">
                  <c:v>10.07198</c:v>
                </c:pt>
                <c:pt idx="2">
                  <c:v>18.363060000000001</c:v>
                </c:pt>
                <c:pt idx="3">
                  <c:v>36.61036</c:v>
                </c:pt>
                <c:pt idx="4">
                  <c:v>73.501310000000004</c:v>
                </c:pt>
                <c:pt idx="5">
                  <c:v>108.889</c:v>
                </c:pt>
                <c:pt idx="6">
                  <c:v>145.30529999999999</c:v>
                </c:pt>
              </c:numCache>
            </c:numRef>
          </c:xVal>
          <c:yVal>
            <c:numRef>
              <c:f>Sr!$H$2:$H$8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462-8245-A4D8-1088EFEC8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181280"/>
        <c:axId val="472991903"/>
      </c:scatterChart>
      <c:valAx>
        <c:axId val="53118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91903"/>
        <c:crosses val="autoZero"/>
        <c:crossBetween val="midCat"/>
      </c:valAx>
      <c:valAx>
        <c:axId val="47299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18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Calibration Curve - Range 1</a:t>
            </a:r>
          </a:p>
        </c:rich>
      </c:tx>
      <c:layout>
        <c:manualLayout>
          <c:xMode val="edge"/>
          <c:yMode val="edge"/>
          <c:x val="0.28739880119323996"/>
          <c:y val="2.4435482629642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501127005904316"/>
          <c:y val="0.16056271583232237"/>
          <c:w val="0.72303326592826456"/>
          <c:h val="0.6452820919338536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Sr!$G$3:$G$5</c:f>
              <c:numCache>
                <c:formatCode>0.000</c:formatCode>
                <c:ptCount val="3"/>
                <c:pt idx="0">
                  <c:v>10.07198</c:v>
                </c:pt>
                <c:pt idx="1">
                  <c:v>18.363060000000001</c:v>
                </c:pt>
                <c:pt idx="2">
                  <c:v>36.61036</c:v>
                </c:pt>
              </c:numCache>
            </c:numRef>
          </c:xVal>
          <c:yVal>
            <c:numRef>
              <c:f>Sr!$H$3:$H$5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5A-4C45-8D7D-C4F74EF84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548320"/>
        <c:axId val="618556272"/>
      </c:scatterChart>
      <c:valAx>
        <c:axId val="32054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556272"/>
        <c:crosses val="autoZero"/>
        <c:crossBetween val="midCat"/>
        <c:majorUnit val="100"/>
      </c:valAx>
      <c:valAx>
        <c:axId val="61855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  <a:r>
              <a:rPr lang="en-US" baseline="0"/>
              <a:t> Curve - Range 2</a:t>
            </a:r>
            <a:endParaRPr lang="en-US"/>
          </a:p>
        </c:rich>
      </c:tx>
      <c:layout>
        <c:manualLayout>
          <c:xMode val="edge"/>
          <c:yMode val="edge"/>
          <c:x val="0.29789853595137677"/>
          <c:y val="2.4527262760694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118723003019839"/>
          <c:y val="0.15280958110595469"/>
          <c:w val="0.74197656120589695"/>
          <c:h val="0.657571730173071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450-2A45-88BE-BF3D5CBE1871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Sr!$G$6:$G$8</c:f>
              <c:numCache>
                <c:formatCode>0.000</c:formatCode>
                <c:ptCount val="3"/>
                <c:pt idx="0">
                  <c:v>73.501310000000004</c:v>
                </c:pt>
                <c:pt idx="1">
                  <c:v>108.889</c:v>
                </c:pt>
                <c:pt idx="2">
                  <c:v>145.30529999999999</c:v>
                </c:pt>
              </c:numCache>
            </c:numRef>
          </c:xVal>
          <c:yVal>
            <c:numRef>
              <c:f>Sr!$H$6:$H$8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50-2A45-88BE-BF3D5CBE1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792944"/>
        <c:axId val="468877583"/>
      </c:scatterChart>
      <c:valAx>
        <c:axId val="60679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877583"/>
        <c:crosses val="autoZero"/>
        <c:crossBetween val="midCat"/>
      </c:valAx>
      <c:valAx>
        <c:axId val="46887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79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Full Calibration Dataset 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246115238055016"/>
          <c:y val="0.16004309556928351"/>
          <c:w val="0.67721953959619652"/>
          <c:h val="0.668689205593479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1">
                    <a:lumMod val="50000"/>
                    <a:lumOff val="50000"/>
                  </a:schemeClr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2DA-4C4D-995B-62933F0AE636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2DA-4C4D-995B-62933F0AE636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2DA-4C4D-995B-62933F0AE636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82DA-4C4D-995B-62933F0AE636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2DA-4C4D-995B-62933F0AE63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2DA-4C4D-995B-62933F0AE636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82DA-4C4D-995B-62933F0AE636}"/>
              </c:ext>
            </c:extLst>
          </c:dPt>
          <c:xVal>
            <c:numRef>
              <c:f>Mo!$G$2:$G$8</c:f>
              <c:numCache>
                <c:formatCode>0.000</c:formatCode>
                <c:ptCount val="7"/>
                <c:pt idx="0">
                  <c:v>0</c:v>
                </c:pt>
                <c:pt idx="1">
                  <c:v>10.07198</c:v>
                </c:pt>
                <c:pt idx="2">
                  <c:v>18.363060000000001</c:v>
                </c:pt>
                <c:pt idx="3">
                  <c:v>36.61036</c:v>
                </c:pt>
                <c:pt idx="4">
                  <c:v>73.501310000000004</c:v>
                </c:pt>
                <c:pt idx="5">
                  <c:v>108.889</c:v>
                </c:pt>
                <c:pt idx="6">
                  <c:v>145.30529999999999</c:v>
                </c:pt>
              </c:numCache>
            </c:numRef>
          </c:xVal>
          <c:yVal>
            <c:numRef>
              <c:f>Mo!$H$2:$H$8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2DA-4C4D-995B-62933F0AE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181280"/>
        <c:axId val="472991903"/>
      </c:scatterChart>
      <c:valAx>
        <c:axId val="53118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91903"/>
        <c:crosses val="autoZero"/>
        <c:crossBetween val="midCat"/>
      </c:valAx>
      <c:valAx>
        <c:axId val="47299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18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Calibration Curve - Range 1</a:t>
            </a:r>
          </a:p>
        </c:rich>
      </c:tx>
      <c:layout>
        <c:manualLayout>
          <c:xMode val="edge"/>
          <c:yMode val="edge"/>
          <c:x val="0.28739880119323996"/>
          <c:y val="2.4435482629642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501127005904316"/>
          <c:y val="0.16056271583232237"/>
          <c:w val="0.72303326592826456"/>
          <c:h val="0.6452820919338536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Mo!$G$3:$G$5</c:f>
              <c:numCache>
                <c:formatCode>0.000</c:formatCode>
                <c:ptCount val="3"/>
                <c:pt idx="0">
                  <c:v>10.07198</c:v>
                </c:pt>
                <c:pt idx="1">
                  <c:v>18.363060000000001</c:v>
                </c:pt>
                <c:pt idx="2">
                  <c:v>36.61036</c:v>
                </c:pt>
              </c:numCache>
            </c:numRef>
          </c:xVal>
          <c:yVal>
            <c:numRef>
              <c:f>Mo!$H$3:$H$5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24-E44C-9596-E752409A0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548320"/>
        <c:axId val="618556272"/>
      </c:scatterChart>
      <c:valAx>
        <c:axId val="32054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556272"/>
        <c:crosses val="autoZero"/>
        <c:crossBetween val="midCat"/>
        <c:majorUnit val="100"/>
      </c:valAx>
      <c:valAx>
        <c:axId val="61855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  <a:r>
              <a:rPr lang="en-US" baseline="0"/>
              <a:t> Curve - Range 2</a:t>
            </a:r>
            <a:endParaRPr lang="en-US"/>
          </a:p>
        </c:rich>
      </c:tx>
      <c:layout>
        <c:manualLayout>
          <c:xMode val="edge"/>
          <c:yMode val="edge"/>
          <c:x val="0.29789853595137677"/>
          <c:y val="2.4527262760694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118723003019839"/>
          <c:y val="0.15280958110595469"/>
          <c:w val="0.74197656120589695"/>
          <c:h val="0.657571730173071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69D-BC4B-A33D-ECE6AFE2710E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Mo!$G$6:$G$8</c:f>
              <c:numCache>
                <c:formatCode>0.000</c:formatCode>
                <c:ptCount val="3"/>
                <c:pt idx="0">
                  <c:v>73.501310000000004</c:v>
                </c:pt>
                <c:pt idx="1">
                  <c:v>108.889</c:v>
                </c:pt>
                <c:pt idx="2">
                  <c:v>145.30529999999999</c:v>
                </c:pt>
              </c:numCache>
            </c:numRef>
          </c:xVal>
          <c:yVal>
            <c:numRef>
              <c:f>Mo!$H$6:$H$8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9D-BC4B-A33D-ECE6AFE27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792944"/>
        <c:axId val="468877583"/>
      </c:scatterChart>
      <c:valAx>
        <c:axId val="60679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877583"/>
        <c:crosses val="autoZero"/>
        <c:crossBetween val="midCat"/>
      </c:valAx>
      <c:valAx>
        <c:axId val="46887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79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Full Calibration Dataset 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246115238055016"/>
          <c:y val="0.16004309556928351"/>
          <c:w val="0.67721953959619652"/>
          <c:h val="0.668689205593479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1">
                    <a:lumMod val="50000"/>
                    <a:lumOff val="50000"/>
                  </a:schemeClr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FD2-F44D-B483-0723AD8F20C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FD2-F44D-B483-0723AD8F20CD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FD2-F44D-B483-0723AD8F20CD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FD2-F44D-B483-0723AD8F20CD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FD2-F44D-B483-0723AD8F20CD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FD2-F44D-B483-0723AD8F20CD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BFD2-F44D-B483-0723AD8F20CD}"/>
              </c:ext>
            </c:extLst>
          </c:dPt>
          <c:xVal>
            <c:numRef>
              <c:f>Cd!$G$2:$G$8</c:f>
              <c:numCache>
                <c:formatCode>0.000</c:formatCode>
                <c:ptCount val="7"/>
                <c:pt idx="0">
                  <c:v>0</c:v>
                </c:pt>
                <c:pt idx="1">
                  <c:v>10.07198</c:v>
                </c:pt>
                <c:pt idx="2">
                  <c:v>18.363060000000001</c:v>
                </c:pt>
                <c:pt idx="3">
                  <c:v>36.61036</c:v>
                </c:pt>
                <c:pt idx="4">
                  <c:v>73.501310000000004</c:v>
                </c:pt>
                <c:pt idx="5">
                  <c:v>108.889</c:v>
                </c:pt>
                <c:pt idx="6">
                  <c:v>145.30529999999999</c:v>
                </c:pt>
              </c:numCache>
            </c:numRef>
          </c:xVal>
          <c:yVal>
            <c:numRef>
              <c:f>Cd!$H$2:$H$8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FD2-F44D-B483-0723AD8F2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181280"/>
        <c:axId val="472991903"/>
      </c:scatterChart>
      <c:valAx>
        <c:axId val="53118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91903"/>
        <c:crosses val="autoZero"/>
        <c:crossBetween val="midCat"/>
      </c:valAx>
      <c:valAx>
        <c:axId val="47299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18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Calibration Curve - Range 1</a:t>
            </a:r>
          </a:p>
        </c:rich>
      </c:tx>
      <c:layout>
        <c:manualLayout>
          <c:xMode val="edge"/>
          <c:yMode val="edge"/>
          <c:x val="0.28739880119323996"/>
          <c:y val="2.4435482629642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501127005904316"/>
          <c:y val="0.16056271583232237"/>
          <c:w val="0.72303326592826456"/>
          <c:h val="0.6452820919338536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E2C-C947-B2B3-9AC179239E0E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E2C-C947-B2B3-9AC179239E0E}"/>
              </c:ext>
            </c:extLst>
          </c:dPt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Cd!$G$3:$G$5</c:f>
              <c:numCache>
                <c:formatCode>0.000</c:formatCode>
                <c:ptCount val="3"/>
                <c:pt idx="0">
                  <c:v>10.07198</c:v>
                </c:pt>
                <c:pt idx="1">
                  <c:v>18.363060000000001</c:v>
                </c:pt>
                <c:pt idx="2">
                  <c:v>36.61036</c:v>
                </c:pt>
              </c:numCache>
            </c:numRef>
          </c:xVal>
          <c:yVal>
            <c:numRef>
              <c:f>Cd!$H$3:$H$5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2C-C947-B2B3-9AC179239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548320"/>
        <c:axId val="618556272"/>
      </c:scatterChart>
      <c:valAx>
        <c:axId val="32054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556272"/>
        <c:crosses val="autoZero"/>
        <c:crossBetween val="midCat"/>
        <c:majorUnit val="100"/>
      </c:valAx>
      <c:valAx>
        <c:axId val="61855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  <a:r>
              <a:rPr lang="en-US" baseline="0"/>
              <a:t> Curve - Range 2</a:t>
            </a:r>
            <a:endParaRPr lang="en-US"/>
          </a:p>
        </c:rich>
      </c:tx>
      <c:layout>
        <c:manualLayout>
          <c:xMode val="edge"/>
          <c:yMode val="edge"/>
          <c:x val="0.29789853595137677"/>
          <c:y val="2.4527262760694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118723003019839"/>
          <c:y val="0.15280958110595469"/>
          <c:w val="0.74197656120589695"/>
          <c:h val="0.657571730173071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FBBD-6A40-ABBD-2F82C62B4581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Cd!$G$6:$G$8</c:f>
              <c:numCache>
                <c:formatCode>0.000</c:formatCode>
                <c:ptCount val="3"/>
                <c:pt idx="0">
                  <c:v>73.501310000000004</c:v>
                </c:pt>
                <c:pt idx="1">
                  <c:v>108.889</c:v>
                </c:pt>
                <c:pt idx="2">
                  <c:v>145.30529999999999</c:v>
                </c:pt>
              </c:numCache>
            </c:numRef>
          </c:xVal>
          <c:yVal>
            <c:numRef>
              <c:f>Cd!$H$6:$H$8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BD-6A40-ABBD-2F82C62B4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792944"/>
        <c:axId val="468877583"/>
      </c:scatterChart>
      <c:valAx>
        <c:axId val="60679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877583"/>
        <c:crosses val="autoZero"/>
        <c:crossBetween val="midCat"/>
      </c:valAx>
      <c:valAx>
        <c:axId val="46887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79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Full Calibration Dataset 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246115238055016"/>
          <c:y val="0.16004309556928351"/>
          <c:w val="0.67721953959619652"/>
          <c:h val="0.668689205593479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1">
                    <a:lumMod val="50000"/>
                    <a:lumOff val="50000"/>
                  </a:schemeClr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DD5-0D4B-B365-A4969F46EB87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DD5-0D4B-B365-A4969F46EB87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DD5-0D4B-B365-A4969F46EB87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DD5-0D4B-B365-A4969F46EB87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9DD5-0D4B-B365-A4969F46EB87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9DD5-0D4B-B365-A4969F46EB87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9DD5-0D4B-B365-A4969F46EB87}"/>
              </c:ext>
            </c:extLst>
          </c:dPt>
          <c:xVal>
            <c:numRef>
              <c:f>Tl!$G$2:$G$8</c:f>
              <c:numCache>
                <c:formatCode>0.000</c:formatCode>
                <c:ptCount val="7"/>
                <c:pt idx="0">
                  <c:v>0</c:v>
                </c:pt>
                <c:pt idx="1">
                  <c:v>10.07198</c:v>
                </c:pt>
                <c:pt idx="2">
                  <c:v>18.363060000000001</c:v>
                </c:pt>
                <c:pt idx="3">
                  <c:v>36.61036</c:v>
                </c:pt>
                <c:pt idx="4">
                  <c:v>73.501310000000004</c:v>
                </c:pt>
                <c:pt idx="5">
                  <c:v>108.889</c:v>
                </c:pt>
                <c:pt idx="6">
                  <c:v>145.30529999999999</c:v>
                </c:pt>
              </c:numCache>
            </c:numRef>
          </c:xVal>
          <c:yVal>
            <c:numRef>
              <c:f>Tl!$H$2:$H$8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DD5-0D4B-B365-A4969F46E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181280"/>
        <c:axId val="472991903"/>
      </c:scatterChart>
      <c:valAx>
        <c:axId val="53118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91903"/>
        <c:crosses val="autoZero"/>
        <c:crossBetween val="midCat"/>
      </c:valAx>
      <c:valAx>
        <c:axId val="47299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18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Calibration Curve - Range 1</a:t>
            </a:r>
          </a:p>
        </c:rich>
      </c:tx>
      <c:layout>
        <c:manualLayout>
          <c:xMode val="edge"/>
          <c:yMode val="edge"/>
          <c:x val="0.28739880119323996"/>
          <c:y val="2.4435482629642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501127005904316"/>
          <c:y val="0.16056271583232237"/>
          <c:w val="0.72303326592826456"/>
          <c:h val="0.6452820919338536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Tl!$G$3:$G$5</c:f>
              <c:numCache>
                <c:formatCode>0.000</c:formatCode>
                <c:ptCount val="3"/>
                <c:pt idx="0">
                  <c:v>10.07198</c:v>
                </c:pt>
                <c:pt idx="1">
                  <c:v>18.363060000000001</c:v>
                </c:pt>
                <c:pt idx="2">
                  <c:v>36.61036</c:v>
                </c:pt>
              </c:numCache>
            </c:numRef>
          </c:xVal>
          <c:yVal>
            <c:numRef>
              <c:f>Tl!$H$3:$H$5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8F-F94C-B682-DAD958E8D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548320"/>
        <c:axId val="618556272"/>
      </c:scatterChart>
      <c:valAx>
        <c:axId val="32054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556272"/>
        <c:crosses val="autoZero"/>
        <c:crossBetween val="midCat"/>
        <c:majorUnit val="100"/>
      </c:valAx>
      <c:valAx>
        <c:axId val="61855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  <a:r>
              <a:rPr lang="en-US" baseline="0"/>
              <a:t> Curve - Range 2</a:t>
            </a:r>
            <a:endParaRPr lang="en-US"/>
          </a:p>
        </c:rich>
      </c:tx>
      <c:layout>
        <c:manualLayout>
          <c:xMode val="edge"/>
          <c:yMode val="edge"/>
          <c:x val="0.29789853595137677"/>
          <c:y val="2.4527262760694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118723003019839"/>
          <c:y val="0.15280958110595469"/>
          <c:w val="0.74197656120589695"/>
          <c:h val="0.657571730173071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A13-EA4E-8C53-1C5ED188386C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Tl!$G$6:$G$8</c:f>
              <c:numCache>
                <c:formatCode>0.000</c:formatCode>
                <c:ptCount val="3"/>
                <c:pt idx="0">
                  <c:v>73.501310000000004</c:v>
                </c:pt>
                <c:pt idx="1">
                  <c:v>108.889</c:v>
                </c:pt>
                <c:pt idx="2">
                  <c:v>145.30529999999999</c:v>
                </c:pt>
              </c:numCache>
            </c:numRef>
          </c:xVal>
          <c:yVal>
            <c:numRef>
              <c:f>Tl!$H$6:$H$8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13-EA4E-8C53-1C5ED1883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792944"/>
        <c:axId val="468877583"/>
      </c:scatterChart>
      <c:valAx>
        <c:axId val="60679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877583"/>
        <c:crosses val="autoZero"/>
        <c:crossBetween val="midCat"/>
      </c:valAx>
      <c:valAx>
        <c:axId val="46887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79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Full Calibration Dataset 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246115238055016"/>
          <c:y val="0.16004309556928351"/>
          <c:w val="0.67721953959619652"/>
          <c:h val="0.668689205593479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1">
                    <a:lumMod val="50000"/>
                    <a:lumOff val="50000"/>
                  </a:schemeClr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AA0-3C4C-8E32-E40036F915D1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AA0-3C4C-8E32-E40036F915D1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AA0-3C4C-8E32-E40036F915D1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AA0-3C4C-8E32-E40036F915D1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AA0-3C4C-8E32-E40036F915D1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2AA0-3C4C-8E32-E40036F915D1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2AA0-3C4C-8E32-E40036F915D1}"/>
              </c:ext>
            </c:extLst>
          </c:dPt>
          <c:xVal>
            <c:numRef>
              <c:f>Pb!$G$2:$G$8</c:f>
              <c:numCache>
                <c:formatCode>0.000</c:formatCode>
                <c:ptCount val="7"/>
                <c:pt idx="0">
                  <c:v>0</c:v>
                </c:pt>
                <c:pt idx="1">
                  <c:v>10.07198</c:v>
                </c:pt>
                <c:pt idx="2">
                  <c:v>18.363060000000001</c:v>
                </c:pt>
                <c:pt idx="3">
                  <c:v>36.61036</c:v>
                </c:pt>
                <c:pt idx="4">
                  <c:v>73.501310000000004</c:v>
                </c:pt>
                <c:pt idx="5">
                  <c:v>108.889</c:v>
                </c:pt>
                <c:pt idx="6">
                  <c:v>145.30529999999999</c:v>
                </c:pt>
              </c:numCache>
            </c:numRef>
          </c:xVal>
          <c:yVal>
            <c:numRef>
              <c:f>Pb!$H$2:$H$8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AA0-3C4C-8E32-E40036F91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181280"/>
        <c:axId val="472991903"/>
      </c:scatterChart>
      <c:valAx>
        <c:axId val="53118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91903"/>
        <c:crosses val="autoZero"/>
        <c:crossBetween val="midCat"/>
      </c:valAx>
      <c:valAx>
        <c:axId val="47299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18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Calibration Curve - Range 1</a:t>
            </a:r>
          </a:p>
        </c:rich>
      </c:tx>
      <c:layout>
        <c:manualLayout>
          <c:xMode val="edge"/>
          <c:yMode val="edge"/>
          <c:x val="0.28739880119323996"/>
          <c:y val="2.4435482629642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501127005904316"/>
          <c:y val="0.16056271583232237"/>
          <c:w val="0.72303326592826456"/>
          <c:h val="0.6452820919338536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Pb!$G$3:$G$5</c:f>
              <c:numCache>
                <c:formatCode>0.000</c:formatCode>
                <c:ptCount val="3"/>
                <c:pt idx="0">
                  <c:v>10.07198</c:v>
                </c:pt>
                <c:pt idx="1">
                  <c:v>18.363060000000001</c:v>
                </c:pt>
                <c:pt idx="2">
                  <c:v>36.61036</c:v>
                </c:pt>
              </c:numCache>
            </c:numRef>
          </c:xVal>
          <c:yVal>
            <c:numRef>
              <c:f>Pb!$H$3:$H$5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12-3045-A5A7-3F04ED680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548320"/>
        <c:axId val="618556272"/>
      </c:scatterChart>
      <c:valAx>
        <c:axId val="32054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556272"/>
        <c:crosses val="autoZero"/>
        <c:crossBetween val="midCat"/>
        <c:majorUnit val="100"/>
      </c:valAx>
      <c:valAx>
        <c:axId val="61855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  <a:r>
              <a:rPr lang="en-US" baseline="0"/>
              <a:t> Curve - Range 2</a:t>
            </a:r>
            <a:endParaRPr lang="en-US"/>
          </a:p>
        </c:rich>
      </c:tx>
      <c:layout>
        <c:manualLayout>
          <c:xMode val="edge"/>
          <c:yMode val="edge"/>
          <c:x val="0.29789853595137677"/>
          <c:y val="2.4527262760694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118723003019839"/>
          <c:y val="0.15280958110595469"/>
          <c:w val="0.74197656120589695"/>
          <c:h val="0.657571730173071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C45-1344-8F12-AB12344DD524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Pb!$G$6:$G$8</c:f>
              <c:numCache>
                <c:formatCode>0.000</c:formatCode>
                <c:ptCount val="3"/>
                <c:pt idx="0">
                  <c:v>73.501310000000004</c:v>
                </c:pt>
                <c:pt idx="1">
                  <c:v>108.889</c:v>
                </c:pt>
                <c:pt idx="2">
                  <c:v>145.30529999999999</c:v>
                </c:pt>
              </c:numCache>
            </c:numRef>
          </c:xVal>
          <c:yVal>
            <c:numRef>
              <c:f>Pb!$H$6:$H$8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45-1344-8F12-AB12344DD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792944"/>
        <c:axId val="468877583"/>
      </c:scatterChart>
      <c:valAx>
        <c:axId val="60679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877583"/>
        <c:crosses val="autoZero"/>
        <c:crossBetween val="midCat"/>
      </c:valAx>
      <c:valAx>
        <c:axId val="46887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79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Full Calibration Dataset 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246115238055016"/>
          <c:y val="0.16004309556928351"/>
          <c:w val="0.67721953959619652"/>
          <c:h val="0.668689205593479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1">
                    <a:lumMod val="50000"/>
                    <a:lumOff val="50000"/>
                  </a:schemeClr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05A-C54B-BF55-77E377A6461B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05A-C54B-BF55-77E377A6461B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05A-C54B-BF55-77E377A6461B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C05A-C54B-BF55-77E377A6461B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C05A-C54B-BF55-77E377A6461B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C05A-C54B-BF55-77E377A6461B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C05A-C54B-BF55-77E377A6461B}"/>
              </c:ext>
            </c:extLst>
          </c:dPt>
          <c:xVal>
            <c:numRef>
              <c:f>Bi!$G$2:$G$8</c:f>
              <c:numCache>
                <c:formatCode>0.000</c:formatCode>
                <c:ptCount val="7"/>
                <c:pt idx="0">
                  <c:v>0</c:v>
                </c:pt>
                <c:pt idx="1">
                  <c:v>10.071980699999999</c:v>
                </c:pt>
                <c:pt idx="2">
                  <c:v>18.363056499999999</c:v>
                </c:pt>
                <c:pt idx="3">
                  <c:v>36.61036</c:v>
                </c:pt>
                <c:pt idx="4">
                  <c:v>73.501311099999995</c:v>
                </c:pt>
                <c:pt idx="5">
                  <c:v>108.889031</c:v>
                </c:pt>
                <c:pt idx="6">
                  <c:v>145.30533299999999</c:v>
                </c:pt>
              </c:numCache>
            </c:numRef>
          </c:xVal>
          <c:yVal>
            <c:numRef>
              <c:f>Bi!$H$2:$H$8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05A-C54B-BF55-77E377A64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181280"/>
        <c:axId val="472991903"/>
      </c:scatterChart>
      <c:valAx>
        <c:axId val="53118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91903"/>
        <c:crosses val="autoZero"/>
        <c:crossBetween val="midCat"/>
      </c:valAx>
      <c:valAx>
        <c:axId val="47299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18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Calibration Curve - Range 1</a:t>
            </a:r>
          </a:p>
        </c:rich>
      </c:tx>
      <c:layout>
        <c:manualLayout>
          <c:xMode val="edge"/>
          <c:yMode val="edge"/>
          <c:x val="0.28739880119323996"/>
          <c:y val="2.4435482629642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501127005904316"/>
          <c:y val="0.16056271583232237"/>
          <c:w val="0.72303326592826456"/>
          <c:h val="0.6452820919338536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3509-3B43-95C4-26E7E07107D3}"/>
              </c:ext>
            </c:extLst>
          </c:dPt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Bi!$G$3:$G$5</c:f>
              <c:numCache>
                <c:formatCode>0.000</c:formatCode>
                <c:ptCount val="3"/>
                <c:pt idx="0">
                  <c:v>10.071980699999999</c:v>
                </c:pt>
                <c:pt idx="1">
                  <c:v>18.363056499999999</c:v>
                </c:pt>
                <c:pt idx="2">
                  <c:v>36.61036</c:v>
                </c:pt>
              </c:numCache>
            </c:numRef>
          </c:xVal>
          <c:yVal>
            <c:numRef>
              <c:f>Bi!$H$3:$H$5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09-3B43-95C4-26E7E0710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548320"/>
        <c:axId val="618556272"/>
      </c:scatterChart>
      <c:valAx>
        <c:axId val="32054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556272"/>
        <c:crosses val="autoZero"/>
        <c:crossBetween val="midCat"/>
        <c:majorUnit val="100"/>
      </c:valAx>
      <c:valAx>
        <c:axId val="61855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  <a:r>
              <a:rPr lang="en-US" baseline="0"/>
              <a:t> Curve - Range 2</a:t>
            </a:r>
            <a:endParaRPr lang="en-US"/>
          </a:p>
        </c:rich>
      </c:tx>
      <c:layout>
        <c:manualLayout>
          <c:xMode val="edge"/>
          <c:yMode val="edge"/>
          <c:x val="0.29789853595137677"/>
          <c:y val="2.4527262760694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118723003019839"/>
          <c:y val="0.15280958110595469"/>
          <c:w val="0.74197656120589695"/>
          <c:h val="0.657571730173071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7AB-C445-823E-8DC45F01D08C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Bi!$G$6:$G$8</c:f>
              <c:numCache>
                <c:formatCode>0.000</c:formatCode>
                <c:ptCount val="3"/>
                <c:pt idx="0">
                  <c:v>73.501311099999995</c:v>
                </c:pt>
                <c:pt idx="1">
                  <c:v>108.889031</c:v>
                </c:pt>
                <c:pt idx="2">
                  <c:v>145.30533299999999</c:v>
                </c:pt>
              </c:numCache>
            </c:numRef>
          </c:xVal>
          <c:yVal>
            <c:numRef>
              <c:f>Bi!$H$6:$H$8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AB-C445-823E-8DC45F01D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792944"/>
        <c:axId val="468877583"/>
      </c:scatterChart>
      <c:valAx>
        <c:axId val="60679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877583"/>
        <c:crosses val="autoZero"/>
        <c:crossBetween val="midCat"/>
      </c:valAx>
      <c:valAx>
        <c:axId val="46887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79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4.xml"/><Relationship Id="rId2" Type="http://schemas.openxmlformats.org/officeDocument/2006/relationships/chart" Target="../charts/chart53.xml"/><Relationship Id="rId1" Type="http://schemas.openxmlformats.org/officeDocument/2006/relationships/chart" Target="../charts/char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5642</xdr:colOff>
      <xdr:row>9</xdr:row>
      <xdr:rowOff>3865</xdr:rowOff>
    </xdr:from>
    <xdr:to>
      <xdr:col>9</xdr:col>
      <xdr:colOff>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B1D0CA-EDFF-BBCD-F5AB-0F72C3C82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7888</xdr:colOff>
      <xdr:row>9</xdr:row>
      <xdr:rowOff>5206</xdr:rowOff>
    </xdr:from>
    <xdr:to>
      <xdr:col>14</xdr:col>
      <xdr:colOff>1</xdr:colOff>
      <xdr:row>25</xdr:row>
      <xdr:rowOff>7889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AEC7B3-B40E-4DB5-0EE3-8D86FDE1F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</xdr:colOff>
      <xdr:row>9</xdr:row>
      <xdr:rowOff>3568</xdr:rowOff>
    </xdr:from>
    <xdr:to>
      <xdr:col>19</xdr:col>
      <xdr:colOff>7889</xdr:colOff>
      <xdr:row>25</xdr:row>
      <xdr:rowOff>8467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CF07A3-9A79-1654-0628-7DD34BB70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0.00764</cdr:x>
      <cdr:y>0.11231</cdr:y>
    </cdr:from>
    <cdr:to>
      <cdr:x>0.10926</cdr:x>
      <cdr:y>0.75956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947492" y="1372832"/>
          <a:ext cx="2299120" cy="3513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0.28492</cdr:x>
      <cdr:y>0.8991</cdr:y>
    </cdr:from>
    <cdr:to>
      <cdr:x>0.82534</cdr:x>
      <cdr:y>0.96186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40516" y="3193719"/>
          <a:ext cx="1973591" cy="22294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0.02109</cdr:x>
      <cdr:y>0.12434</cdr:y>
    </cdr:from>
    <cdr:to>
      <cdr:x>0.12271</cdr:x>
      <cdr:y>0.77369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690457" y="1113272"/>
          <a:ext cx="1849333" cy="331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0.27212</cdr:x>
      <cdr:y>0.88961</cdr:y>
    </cdr:from>
    <cdr:to>
      <cdr:x>0.81254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06975" y="2774174"/>
          <a:ext cx="1999831" cy="34424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  <a:p xmlns:a="http://schemas.openxmlformats.org/drawingml/2006/main">
          <a:pPr algn="ctr"/>
          <a:endParaRPr lang="en-US" sz="1400" b="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0.01218</cdr:x>
      <cdr:y>0.14803</cdr:y>
    </cdr:from>
    <cdr:to>
      <cdr:x>0.1054</cdr:x>
      <cdr:y>0.78905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774260" y="1280037"/>
          <a:ext cx="1991487" cy="3511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  <a:p xmlns:a="http://schemas.openxmlformats.org/drawingml/2006/main">
          <a:pPr algn="ctr"/>
          <a:endParaRPr lang="en-US" sz="1600"/>
        </a:p>
      </cdr:txBody>
    </cdr:sp>
  </cdr:relSizeAnchor>
  <cdr:relSizeAnchor xmlns:cdr="http://schemas.openxmlformats.org/drawingml/2006/chartDrawing">
    <cdr:from>
      <cdr:x>0.32096</cdr:x>
      <cdr:y>0.88959</cdr:y>
    </cdr:from>
    <cdr:to>
      <cdr:x>0.81672</cdr:x>
      <cdr:y>0.99857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209085" y="2763742"/>
          <a:ext cx="1867571" cy="33857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5642</xdr:colOff>
      <xdr:row>9</xdr:row>
      <xdr:rowOff>3865</xdr:rowOff>
    </xdr:from>
    <xdr:to>
      <xdr:col>9</xdr:col>
      <xdr:colOff>0</xdr:colOff>
      <xdr:row>25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37C6737-0E5B-C547-B6A5-1735FE594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7888</xdr:colOff>
      <xdr:row>9</xdr:row>
      <xdr:rowOff>5206</xdr:rowOff>
    </xdr:from>
    <xdr:to>
      <xdr:col>14</xdr:col>
      <xdr:colOff>1</xdr:colOff>
      <xdr:row>25</xdr:row>
      <xdr:rowOff>7889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B1DA60E-3119-E043-AB74-0B6560C56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</xdr:colOff>
      <xdr:row>9</xdr:row>
      <xdr:rowOff>3568</xdr:rowOff>
    </xdr:from>
    <xdr:to>
      <xdr:col>19</xdr:col>
      <xdr:colOff>7889</xdr:colOff>
      <xdr:row>25</xdr:row>
      <xdr:rowOff>8467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C592AC9-FDC4-DC46-B3D9-7075B4F66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0.00764</cdr:x>
      <cdr:y>0.11231</cdr:y>
    </cdr:from>
    <cdr:to>
      <cdr:x>0.10926</cdr:x>
      <cdr:y>0.75956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947492" y="1372832"/>
          <a:ext cx="2299120" cy="3513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0.28492</cdr:x>
      <cdr:y>0.8991</cdr:y>
    </cdr:from>
    <cdr:to>
      <cdr:x>0.82534</cdr:x>
      <cdr:y>0.96186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40516" y="3193719"/>
          <a:ext cx="1973591" cy="22294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0.02109</cdr:x>
      <cdr:y>0.12434</cdr:y>
    </cdr:from>
    <cdr:to>
      <cdr:x>0.12271</cdr:x>
      <cdr:y>0.77369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690457" y="1113272"/>
          <a:ext cx="1849333" cy="331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0.27212</cdr:x>
      <cdr:y>0.88961</cdr:y>
    </cdr:from>
    <cdr:to>
      <cdr:x>0.81254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06975" y="2774174"/>
          <a:ext cx="1999831" cy="34424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  <a:p xmlns:a="http://schemas.openxmlformats.org/drawingml/2006/main">
          <a:pPr algn="ctr"/>
          <a:endParaRPr lang="en-US" sz="1400" b="0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0.01218</cdr:x>
      <cdr:y>0.14803</cdr:y>
    </cdr:from>
    <cdr:to>
      <cdr:x>0.1054</cdr:x>
      <cdr:y>0.78905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774260" y="1280037"/>
          <a:ext cx="1991487" cy="3511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  <a:p xmlns:a="http://schemas.openxmlformats.org/drawingml/2006/main">
          <a:pPr algn="ctr"/>
          <a:endParaRPr lang="en-US" sz="1600"/>
        </a:p>
      </cdr:txBody>
    </cdr:sp>
  </cdr:relSizeAnchor>
  <cdr:relSizeAnchor xmlns:cdr="http://schemas.openxmlformats.org/drawingml/2006/chartDrawing">
    <cdr:from>
      <cdr:x>0.32096</cdr:x>
      <cdr:y>0.88959</cdr:y>
    </cdr:from>
    <cdr:to>
      <cdr:x>0.81672</cdr:x>
      <cdr:y>0.99857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209085" y="2763742"/>
          <a:ext cx="1867571" cy="33857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5642</xdr:colOff>
      <xdr:row>9</xdr:row>
      <xdr:rowOff>3865</xdr:rowOff>
    </xdr:from>
    <xdr:to>
      <xdr:col>9</xdr:col>
      <xdr:colOff>0</xdr:colOff>
      <xdr:row>25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3C8328-AC59-2348-B93E-652D6E430F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7888</xdr:colOff>
      <xdr:row>9</xdr:row>
      <xdr:rowOff>5206</xdr:rowOff>
    </xdr:from>
    <xdr:to>
      <xdr:col>14</xdr:col>
      <xdr:colOff>1</xdr:colOff>
      <xdr:row>25</xdr:row>
      <xdr:rowOff>7889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3A4DF23-5B5B-3B4D-B4C5-145D0BF731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</xdr:colOff>
      <xdr:row>9</xdr:row>
      <xdr:rowOff>3568</xdr:rowOff>
    </xdr:from>
    <xdr:to>
      <xdr:col>19</xdr:col>
      <xdr:colOff>7889</xdr:colOff>
      <xdr:row>25</xdr:row>
      <xdr:rowOff>8467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9E5CA3-C79E-2346-9276-08D8EF9977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0.00764</cdr:x>
      <cdr:y>0.11231</cdr:y>
    </cdr:from>
    <cdr:to>
      <cdr:x>0.10926</cdr:x>
      <cdr:y>0.75956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947492" y="1372832"/>
          <a:ext cx="2299120" cy="3513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0.28492</cdr:x>
      <cdr:y>0.8991</cdr:y>
    </cdr:from>
    <cdr:to>
      <cdr:x>0.82534</cdr:x>
      <cdr:y>0.96186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40516" y="3193719"/>
          <a:ext cx="1973591" cy="22294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0.02109</cdr:x>
      <cdr:y>0.12434</cdr:y>
    </cdr:from>
    <cdr:to>
      <cdr:x>0.12271</cdr:x>
      <cdr:y>0.77369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690457" y="1113272"/>
          <a:ext cx="1849333" cy="331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0.27212</cdr:x>
      <cdr:y>0.88961</cdr:y>
    </cdr:from>
    <cdr:to>
      <cdr:x>0.81254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06975" y="2774174"/>
          <a:ext cx="1999831" cy="34424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  <a:p xmlns:a="http://schemas.openxmlformats.org/drawingml/2006/main">
          <a:pPr algn="ctr"/>
          <a:endParaRPr lang="en-US" sz="1400" b="0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0.01218</cdr:x>
      <cdr:y>0.14803</cdr:y>
    </cdr:from>
    <cdr:to>
      <cdr:x>0.1054</cdr:x>
      <cdr:y>0.78905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774260" y="1280037"/>
          <a:ext cx="1991487" cy="3511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  <a:p xmlns:a="http://schemas.openxmlformats.org/drawingml/2006/main">
          <a:pPr algn="ctr"/>
          <a:endParaRPr lang="en-US" sz="1600"/>
        </a:p>
      </cdr:txBody>
    </cdr:sp>
  </cdr:relSizeAnchor>
  <cdr:relSizeAnchor xmlns:cdr="http://schemas.openxmlformats.org/drawingml/2006/chartDrawing">
    <cdr:from>
      <cdr:x>0.32096</cdr:x>
      <cdr:y>0.88959</cdr:y>
    </cdr:from>
    <cdr:to>
      <cdr:x>0.81672</cdr:x>
      <cdr:y>0.99857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209085" y="2763742"/>
          <a:ext cx="1867571" cy="33857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5642</xdr:colOff>
      <xdr:row>9</xdr:row>
      <xdr:rowOff>3865</xdr:rowOff>
    </xdr:from>
    <xdr:to>
      <xdr:col>9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7E6EB6-1997-D246-816A-F89DF5C8AA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7888</xdr:colOff>
      <xdr:row>9</xdr:row>
      <xdr:rowOff>5206</xdr:rowOff>
    </xdr:from>
    <xdr:to>
      <xdr:col>14</xdr:col>
      <xdr:colOff>1</xdr:colOff>
      <xdr:row>25</xdr:row>
      <xdr:rowOff>7889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6C6812-1141-944E-9EF5-0FD28B383E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</xdr:colOff>
      <xdr:row>9</xdr:row>
      <xdr:rowOff>3568</xdr:rowOff>
    </xdr:from>
    <xdr:to>
      <xdr:col>19</xdr:col>
      <xdr:colOff>7889</xdr:colOff>
      <xdr:row>25</xdr:row>
      <xdr:rowOff>8467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60676F-3D09-5147-96C9-F91841150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0.00764</cdr:x>
      <cdr:y>0.11231</cdr:y>
    </cdr:from>
    <cdr:to>
      <cdr:x>0.10926</cdr:x>
      <cdr:y>0.75956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947492" y="1372832"/>
          <a:ext cx="2299120" cy="3513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0.28492</cdr:x>
      <cdr:y>0.8991</cdr:y>
    </cdr:from>
    <cdr:to>
      <cdr:x>0.82534</cdr:x>
      <cdr:y>0.96186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40516" y="3193719"/>
          <a:ext cx="1973591" cy="22294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0.02109</cdr:x>
      <cdr:y>0.12434</cdr:y>
    </cdr:from>
    <cdr:to>
      <cdr:x>0.12271</cdr:x>
      <cdr:y>0.77369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690457" y="1113272"/>
          <a:ext cx="1849333" cy="331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0.27212</cdr:x>
      <cdr:y>0.88961</cdr:y>
    </cdr:from>
    <cdr:to>
      <cdr:x>0.81254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06975" y="2774174"/>
          <a:ext cx="1999831" cy="34424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  <a:p xmlns:a="http://schemas.openxmlformats.org/drawingml/2006/main">
          <a:pPr algn="ctr"/>
          <a:endParaRPr lang="en-US" sz="1400" b="0"/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0.01218</cdr:x>
      <cdr:y>0.14803</cdr:y>
    </cdr:from>
    <cdr:to>
      <cdr:x>0.1054</cdr:x>
      <cdr:y>0.78905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774260" y="1280037"/>
          <a:ext cx="1991487" cy="3511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  <a:p xmlns:a="http://schemas.openxmlformats.org/drawingml/2006/main">
          <a:pPr algn="ctr"/>
          <a:endParaRPr lang="en-US" sz="1600"/>
        </a:p>
      </cdr:txBody>
    </cdr:sp>
  </cdr:relSizeAnchor>
  <cdr:relSizeAnchor xmlns:cdr="http://schemas.openxmlformats.org/drawingml/2006/chartDrawing">
    <cdr:from>
      <cdr:x>0.32096</cdr:x>
      <cdr:y>0.88959</cdr:y>
    </cdr:from>
    <cdr:to>
      <cdr:x>0.81672</cdr:x>
      <cdr:y>0.99857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209085" y="2763742"/>
          <a:ext cx="1867571" cy="33857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5642</xdr:colOff>
      <xdr:row>9</xdr:row>
      <xdr:rowOff>3865</xdr:rowOff>
    </xdr:from>
    <xdr:to>
      <xdr:col>9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23F0B9-F665-A44E-B649-375BEA9B8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7888</xdr:colOff>
      <xdr:row>9</xdr:row>
      <xdr:rowOff>5206</xdr:rowOff>
    </xdr:from>
    <xdr:to>
      <xdr:col>14</xdr:col>
      <xdr:colOff>1</xdr:colOff>
      <xdr:row>25</xdr:row>
      <xdr:rowOff>7889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22AA41-173D-4343-B6E8-2AB09026D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</xdr:colOff>
      <xdr:row>9</xdr:row>
      <xdr:rowOff>3568</xdr:rowOff>
    </xdr:from>
    <xdr:to>
      <xdr:col>19</xdr:col>
      <xdr:colOff>7889</xdr:colOff>
      <xdr:row>25</xdr:row>
      <xdr:rowOff>8467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C9064C-F544-D943-900E-F93A57F4E6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0.00764</cdr:x>
      <cdr:y>0.11231</cdr:y>
    </cdr:from>
    <cdr:to>
      <cdr:x>0.10926</cdr:x>
      <cdr:y>0.75956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947492" y="1372832"/>
          <a:ext cx="2299120" cy="3513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0.28492</cdr:x>
      <cdr:y>0.8991</cdr:y>
    </cdr:from>
    <cdr:to>
      <cdr:x>0.82534</cdr:x>
      <cdr:y>0.96186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40516" y="3193719"/>
          <a:ext cx="1973591" cy="22294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0.02109</cdr:x>
      <cdr:y>0.12434</cdr:y>
    </cdr:from>
    <cdr:to>
      <cdr:x>0.12271</cdr:x>
      <cdr:y>0.77369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690457" y="1113272"/>
          <a:ext cx="1849333" cy="331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0.27212</cdr:x>
      <cdr:y>0.88961</cdr:y>
    </cdr:from>
    <cdr:to>
      <cdr:x>0.81254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06975" y="2774174"/>
          <a:ext cx="1999831" cy="34424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  <a:p xmlns:a="http://schemas.openxmlformats.org/drawingml/2006/main">
          <a:pPr algn="ctr"/>
          <a:endParaRPr lang="en-US" sz="1400" b="0"/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0.01218</cdr:x>
      <cdr:y>0.14803</cdr:y>
    </cdr:from>
    <cdr:to>
      <cdr:x>0.1054</cdr:x>
      <cdr:y>0.78905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774260" y="1280037"/>
          <a:ext cx="1991487" cy="3511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  <a:p xmlns:a="http://schemas.openxmlformats.org/drawingml/2006/main">
          <a:pPr algn="ctr"/>
          <a:endParaRPr lang="en-US" sz="1600"/>
        </a:p>
      </cdr:txBody>
    </cdr:sp>
  </cdr:relSizeAnchor>
  <cdr:relSizeAnchor xmlns:cdr="http://schemas.openxmlformats.org/drawingml/2006/chartDrawing">
    <cdr:from>
      <cdr:x>0.32096</cdr:x>
      <cdr:y>0.88959</cdr:y>
    </cdr:from>
    <cdr:to>
      <cdr:x>0.81672</cdr:x>
      <cdr:y>0.99857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209085" y="2763742"/>
          <a:ext cx="1867571" cy="33857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5642</xdr:colOff>
      <xdr:row>9</xdr:row>
      <xdr:rowOff>3865</xdr:rowOff>
    </xdr:from>
    <xdr:to>
      <xdr:col>9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0843CF-DA97-864C-84ED-B770B06BEC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7888</xdr:colOff>
      <xdr:row>9</xdr:row>
      <xdr:rowOff>5206</xdr:rowOff>
    </xdr:from>
    <xdr:to>
      <xdr:col>14</xdr:col>
      <xdr:colOff>1</xdr:colOff>
      <xdr:row>25</xdr:row>
      <xdr:rowOff>7889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61F3C-1AFB-6943-B7C5-157397E7E0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</xdr:colOff>
      <xdr:row>9</xdr:row>
      <xdr:rowOff>3568</xdr:rowOff>
    </xdr:from>
    <xdr:to>
      <xdr:col>19</xdr:col>
      <xdr:colOff>7889</xdr:colOff>
      <xdr:row>25</xdr:row>
      <xdr:rowOff>8467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DE46AE-7A47-9846-9FA6-363AB27B8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0.00764</cdr:x>
      <cdr:y>0.11231</cdr:y>
    </cdr:from>
    <cdr:to>
      <cdr:x>0.10926</cdr:x>
      <cdr:y>0.75956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947492" y="1372832"/>
          <a:ext cx="2299120" cy="3513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0.28492</cdr:x>
      <cdr:y>0.8991</cdr:y>
    </cdr:from>
    <cdr:to>
      <cdr:x>0.82534</cdr:x>
      <cdr:y>0.96186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40516" y="3193719"/>
          <a:ext cx="1973591" cy="22294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0.02109</cdr:x>
      <cdr:y>0.12434</cdr:y>
    </cdr:from>
    <cdr:to>
      <cdr:x>0.12271</cdr:x>
      <cdr:y>0.77369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690457" y="1113272"/>
          <a:ext cx="1849333" cy="331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0.27212</cdr:x>
      <cdr:y>0.88961</cdr:y>
    </cdr:from>
    <cdr:to>
      <cdr:x>0.81254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06975" y="2774174"/>
          <a:ext cx="1999831" cy="34424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  <a:p xmlns:a="http://schemas.openxmlformats.org/drawingml/2006/main">
          <a:pPr algn="ctr"/>
          <a:endParaRPr lang="en-US" sz="1400" b="0"/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0.01218</cdr:x>
      <cdr:y>0.14803</cdr:y>
    </cdr:from>
    <cdr:to>
      <cdr:x>0.1054</cdr:x>
      <cdr:y>0.78905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774260" y="1280037"/>
          <a:ext cx="1991487" cy="3511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  <a:p xmlns:a="http://schemas.openxmlformats.org/drawingml/2006/main">
          <a:pPr algn="ctr"/>
          <a:endParaRPr lang="en-US" sz="1600"/>
        </a:p>
      </cdr:txBody>
    </cdr:sp>
  </cdr:relSizeAnchor>
  <cdr:relSizeAnchor xmlns:cdr="http://schemas.openxmlformats.org/drawingml/2006/chartDrawing">
    <cdr:from>
      <cdr:x>0.32096</cdr:x>
      <cdr:y>0.88959</cdr:y>
    </cdr:from>
    <cdr:to>
      <cdr:x>0.81672</cdr:x>
      <cdr:y>0.99857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209085" y="2763742"/>
          <a:ext cx="1867571" cy="33857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5642</xdr:colOff>
      <xdr:row>9</xdr:row>
      <xdr:rowOff>3865</xdr:rowOff>
    </xdr:from>
    <xdr:to>
      <xdr:col>9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7443E1-776F-5143-AE63-8A8755D201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7888</xdr:colOff>
      <xdr:row>9</xdr:row>
      <xdr:rowOff>5206</xdr:rowOff>
    </xdr:from>
    <xdr:to>
      <xdr:col>14</xdr:col>
      <xdr:colOff>1</xdr:colOff>
      <xdr:row>25</xdr:row>
      <xdr:rowOff>7889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5B34A2-9A51-B04E-9891-0E76C6E01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</xdr:colOff>
      <xdr:row>9</xdr:row>
      <xdr:rowOff>3568</xdr:rowOff>
    </xdr:from>
    <xdr:to>
      <xdr:col>19</xdr:col>
      <xdr:colOff>7889</xdr:colOff>
      <xdr:row>25</xdr:row>
      <xdr:rowOff>8467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727B48-E89A-3C48-9E97-BC24FC565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0.00764</cdr:x>
      <cdr:y>0.11231</cdr:y>
    </cdr:from>
    <cdr:to>
      <cdr:x>0.10926</cdr:x>
      <cdr:y>0.75956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947492" y="1372832"/>
          <a:ext cx="2299120" cy="3513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0.28492</cdr:x>
      <cdr:y>0.8991</cdr:y>
    </cdr:from>
    <cdr:to>
      <cdr:x>0.82534</cdr:x>
      <cdr:y>0.96186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40516" y="3193719"/>
          <a:ext cx="1973591" cy="22294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0.02109</cdr:x>
      <cdr:y>0.12434</cdr:y>
    </cdr:from>
    <cdr:to>
      <cdr:x>0.12271</cdr:x>
      <cdr:y>0.77369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690457" y="1113272"/>
          <a:ext cx="1849333" cy="331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0.27212</cdr:x>
      <cdr:y>0.88961</cdr:y>
    </cdr:from>
    <cdr:to>
      <cdr:x>0.81254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06975" y="2774174"/>
          <a:ext cx="1999831" cy="34424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  <a:p xmlns:a="http://schemas.openxmlformats.org/drawingml/2006/main">
          <a:pPr algn="ctr"/>
          <a:endParaRPr lang="en-US" sz="1400" b="0"/>
        </a:p>
      </cdr:txBody>
    </cdr:sp>
  </cdr:relSizeAnchor>
</c:userShapes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0.01218</cdr:x>
      <cdr:y>0.14803</cdr:y>
    </cdr:from>
    <cdr:to>
      <cdr:x>0.1054</cdr:x>
      <cdr:y>0.78905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774260" y="1280037"/>
          <a:ext cx="1991487" cy="3511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  <a:p xmlns:a="http://schemas.openxmlformats.org/drawingml/2006/main">
          <a:pPr algn="ctr"/>
          <a:endParaRPr lang="en-US" sz="1600"/>
        </a:p>
      </cdr:txBody>
    </cdr:sp>
  </cdr:relSizeAnchor>
  <cdr:relSizeAnchor xmlns:cdr="http://schemas.openxmlformats.org/drawingml/2006/chartDrawing">
    <cdr:from>
      <cdr:x>0.32096</cdr:x>
      <cdr:y>0.88959</cdr:y>
    </cdr:from>
    <cdr:to>
      <cdr:x>0.81672</cdr:x>
      <cdr:y>0.99857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209085" y="2763742"/>
          <a:ext cx="1867571" cy="33857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5642</xdr:colOff>
      <xdr:row>9</xdr:row>
      <xdr:rowOff>3865</xdr:rowOff>
    </xdr:from>
    <xdr:to>
      <xdr:col>9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6024EC-625C-C24C-9258-76CE375D4E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7888</xdr:colOff>
      <xdr:row>9</xdr:row>
      <xdr:rowOff>5206</xdr:rowOff>
    </xdr:from>
    <xdr:to>
      <xdr:col>14</xdr:col>
      <xdr:colOff>1</xdr:colOff>
      <xdr:row>25</xdr:row>
      <xdr:rowOff>7889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D56EF8-54E7-E94A-A4B0-400E35E903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</xdr:colOff>
      <xdr:row>9</xdr:row>
      <xdr:rowOff>3568</xdr:rowOff>
    </xdr:from>
    <xdr:to>
      <xdr:col>19</xdr:col>
      <xdr:colOff>7889</xdr:colOff>
      <xdr:row>25</xdr:row>
      <xdr:rowOff>8467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8A74B6-429B-3241-A2F9-0F6B5E246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0.00764</cdr:x>
      <cdr:y>0.11231</cdr:y>
    </cdr:from>
    <cdr:to>
      <cdr:x>0.10926</cdr:x>
      <cdr:y>0.75956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947492" y="1372832"/>
          <a:ext cx="2299120" cy="3513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0.28492</cdr:x>
      <cdr:y>0.8991</cdr:y>
    </cdr:from>
    <cdr:to>
      <cdr:x>0.82534</cdr:x>
      <cdr:y>0.96186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40516" y="3193719"/>
          <a:ext cx="1973591" cy="22294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0.02109</cdr:x>
      <cdr:y>0.12434</cdr:y>
    </cdr:from>
    <cdr:to>
      <cdr:x>0.12271</cdr:x>
      <cdr:y>0.77369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690457" y="1113272"/>
          <a:ext cx="1849333" cy="331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0.27212</cdr:x>
      <cdr:y>0.88961</cdr:y>
    </cdr:from>
    <cdr:to>
      <cdr:x>0.81254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06975" y="2774174"/>
          <a:ext cx="1999831" cy="34424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  <a:p xmlns:a="http://schemas.openxmlformats.org/drawingml/2006/main">
          <a:pPr algn="ctr"/>
          <a:endParaRPr lang="en-US" sz="1400" b="0"/>
        </a:p>
      </cdr:txBody>
    </cdr:sp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0.01218</cdr:x>
      <cdr:y>0.14803</cdr:y>
    </cdr:from>
    <cdr:to>
      <cdr:x>0.1054</cdr:x>
      <cdr:y>0.78905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774260" y="1280037"/>
          <a:ext cx="1991487" cy="3511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  <a:p xmlns:a="http://schemas.openxmlformats.org/drawingml/2006/main">
          <a:pPr algn="ctr"/>
          <a:endParaRPr lang="en-US" sz="1600"/>
        </a:p>
      </cdr:txBody>
    </cdr:sp>
  </cdr:relSizeAnchor>
  <cdr:relSizeAnchor xmlns:cdr="http://schemas.openxmlformats.org/drawingml/2006/chartDrawing">
    <cdr:from>
      <cdr:x>0.32096</cdr:x>
      <cdr:y>0.88959</cdr:y>
    </cdr:from>
    <cdr:to>
      <cdr:x>0.81672</cdr:x>
      <cdr:y>0.99857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209085" y="2763742"/>
          <a:ext cx="1867571" cy="33857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5642</xdr:colOff>
      <xdr:row>9</xdr:row>
      <xdr:rowOff>3865</xdr:rowOff>
    </xdr:from>
    <xdr:to>
      <xdr:col>9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C7405B-1FEE-5F4E-9BA1-9184B4C5E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7888</xdr:colOff>
      <xdr:row>9</xdr:row>
      <xdr:rowOff>5206</xdr:rowOff>
    </xdr:from>
    <xdr:to>
      <xdr:col>14</xdr:col>
      <xdr:colOff>1</xdr:colOff>
      <xdr:row>25</xdr:row>
      <xdr:rowOff>7889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A48A27-5372-F244-B4C5-9D1FD0F7B1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</xdr:colOff>
      <xdr:row>9</xdr:row>
      <xdr:rowOff>3568</xdr:rowOff>
    </xdr:from>
    <xdr:to>
      <xdr:col>19</xdr:col>
      <xdr:colOff>7889</xdr:colOff>
      <xdr:row>25</xdr:row>
      <xdr:rowOff>8467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8F5164-5E7F-8344-8EFC-3A75C850D1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0.00764</cdr:x>
      <cdr:y>0.11231</cdr:y>
    </cdr:from>
    <cdr:to>
      <cdr:x>0.10926</cdr:x>
      <cdr:y>0.75956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947492" y="1372832"/>
          <a:ext cx="2299120" cy="3513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0.28492</cdr:x>
      <cdr:y>0.8991</cdr:y>
    </cdr:from>
    <cdr:to>
      <cdr:x>0.82534</cdr:x>
      <cdr:y>0.96186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40516" y="3193719"/>
          <a:ext cx="1973591" cy="22294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0.02109</cdr:x>
      <cdr:y>0.12434</cdr:y>
    </cdr:from>
    <cdr:to>
      <cdr:x>0.12271</cdr:x>
      <cdr:y>0.77369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690457" y="1113272"/>
          <a:ext cx="1849333" cy="331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0.27212</cdr:x>
      <cdr:y>0.88961</cdr:y>
    </cdr:from>
    <cdr:to>
      <cdr:x>0.81254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06975" y="2774174"/>
          <a:ext cx="1999831" cy="34424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  <a:p xmlns:a="http://schemas.openxmlformats.org/drawingml/2006/main">
          <a:pPr algn="ctr"/>
          <a:endParaRPr lang="en-US" sz="1400" b="0"/>
        </a:p>
      </cdr:txBody>
    </cdr:sp>
  </cdr:relSizeAnchor>
</c:userShapes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0.01218</cdr:x>
      <cdr:y>0.14803</cdr:y>
    </cdr:from>
    <cdr:to>
      <cdr:x>0.1054</cdr:x>
      <cdr:y>0.78905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774260" y="1280037"/>
          <a:ext cx="1991487" cy="3511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  <a:p xmlns:a="http://schemas.openxmlformats.org/drawingml/2006/main">
          <a:pPr algn="ctr"/>
          <a:endParaRPr lang="en-US" sz="1600"/>
        </a:p>
      </cdr:txBody>
    </cdr:sp>
  </cdr:relSizeAnchor>
  <cdr:relSizeAnchor xmlns:cdr="http://schemas.openxmlformats.org/drawingml/2006/chartDrawing">
    <cdr:from>
      <cdr:x>0.32096</cdr:x>
      <cdr:y>0.88959</cdr:y>
    </cdr:from>
    <cdr:to>
      <cdr:x>0.81672</cdr:x>
      <cdr:y>0.99857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209085" y="2763742"/>
          <a:ext cx="1867571" cy="33857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5642</xdr:colOff>
      <xdr:row>9</xdr:row>
      <xdr:rowOff>3865</xdr:rowOff>
    </xdr:from>
    <xdr:to>
      <xdr:col>9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AB585D-B8AA-5449-9377-863FA19D72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7888</xdr:colOff>
      <xdr:row>9</xdr:row>
      <xdr:rowOff>5206</xdr:rowOff>
    </xdr:from>
    <xdr:to>
      <xdr:col>14</xdr:col>
      <xdr:colOff>1</xdr:colOff>
      <xdr:row>25</xdr:row>
      <xdr:rowOff>7889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BE12B9-127C-3640-AE53-B42974F88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</xdr:colOff>
      <xdr:row>9</xdr:row>
      <xdr:rowOff>3568</xdr:rowOff>
    </xdr:from>
    <xdr:to>
      <xdr:col>19</xdr:col>
      <xdr:colOff>7889</xdr:colOff>
      <xdr:row>25</xdr:row>
      <xdr:rowOff>8467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AA3FAC-296F-954F-B307-842D2BA6C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0.00764</cdr:x>
      <cdr:y>0.11231</cdr:y>
    </cdr:from>
    <cdr:to>
      <cdr:x>0.10926</cdr:x>
      <cdr:y>0.75956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947492" y="1372832"/>
          <a:ext cx="2299120" cy="3513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0.28492</cdr:x>
      <cdr:y>0.8991</cdr:y>
    </cdr:from>
    <cdr:to>
      <cdr:x>0.82534</cdr:x>
      <cdr:y>0.96186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40516" y="3193719"/>
          <a:ext cx="1973591" cy="22294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39.xml><?xml version="1.0" encoding="utf-8"?>
<c:userShapes xmlns:c="http://schemas.openxmlformats.org/drawingml/2006/chart">
  <cdr:relSizeAnchor xmlns:cdr="http://schemas.openxmlformats.org/drawingml/2006/chartDrawing">
    <cdr:from>
      <cdr:x>0.02109</cdr:x>
      <cdr:y>0.12434</cdr:y>
    </cdr:from>
    <cdr:to>
      <cdr:x>0.12271</cdr:x>
      <cdr:y>0.77369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690457" y="1113272"/>
          <a:ext cx="1849333" cy="331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0.27212</cdr:x>
      <cdr:y>0.88961</cdr:y>
    </cdr:from>
    <cdr:to>
      <cdr:x>0.81254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06975" y="2774174"/>
          <a:ext cx="1999831" cy="34424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  <a:p xmlns:a="http://schemas.openxmlformats.org/drawingml/2006/main">
          <a:pPr algn="ctr"/>
          <a:endParaRPr lang="en-US" sz="1400" b="0"/>
        </a:p>
      </cdr:txBody>
    </cdr:sp>
  </cdr:relSizeAnchor>
</c:userShapes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0.01218</cdr:x>
      <cdr:y>0.14803</cdr:y>
    </cdr:from>
    <cdr:to>
      <cdr:x>0.1054</cdr:x>
      <cdr:y>0.78905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774260" y="1280037"/>
          <a:ext cx="1991487" cy="3511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  <a:p xmlns:a="http://schemas.openxmlformats.org/drawingml/2006/main">
          <a:pPr algn="ctr"/>
          <a:endParaRPr lang="en-US" sz="1600"/>
        </a:p>
      </cdr:txBody>
    </cdr:sp>
  </cdr:relSizeAnchor>
  <cdr:relSizeAnchor xmlns:cdr="http://schemas.openxmlformats.org/drawingml/2006/chartDrawing">
    <cdr:from>
      <cdr:x>0.32096</cdr:x>
      <cdr:y>0.88959</cdr:y>
    </cdr:from>
    <cdr:to>
      <cdr:x>0.81672</cdr:x>
      <cdr:y>0.99857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209085" y="2763742"/>
          <a:ext cx="1867571" cy="33857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5642</xdr:colOff>
      <xdr:row>9</xdr:row>
      <xdr:rowOff>3865</xdr:rowOff>
    </xdr:from>
    <xdr:to>
      <xdr:col>9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33CE6A-C660-524A-974A-97F1274681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7888</xdr:colOff>
      <xdr:row>9</xdr:row>
      <xdr:rowOff>5206</xdr:rowOff>
    </xdr:from>
    <xdr:to>
      <xdr:col>14</xdr:col>
      <xdr:colOff>1</xdr:colOff>
      <xdr:row>25</xdr:row>
      <xdr:rowOff>7889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AB58AA-462B-3D46-A61E-1557180BC5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</xdr:colOff>
      <xdr:row>9</xdr:row>
      <xdr:rowOff>3568</xdr:rowOff>
    </xdr:from>
    <xdr:to>
      <xdr:col>19</xdr:col>
      <xdr:colOff>7889</xdr:colOff>
      <xdr:row>25</xdr:row>
      <xdr:rowOff>8467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809678-55EC-D94E-8559-49625836E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0.00764</cdr:x>
      <cdr:y>0.11231</cdr:y>
    </cdr:from>
    <cdr:to>
      <cdr:x>0.10926</cdr:x>
      <cdr:y>0.75956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947492" y="1372832"/>
          <a:ext cx="2299120" cy="3513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0.28492</cdr:x>
      <cdr:y>0.8991</cdr:y>
    </cdr:from>
    <cdr:to>
      <cdr:x>0.82534</cdr:x>
      <cdr:y>0.96186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40516" y="3193719"/>
          <a:ext cx="1973591" cy="22294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43.xml><?xml version="1.0" encoding="utf-8"?>
<c:userShapes xmlns:c="http://schemas.openxmlformats.org/drawingml/2006/chart">
  <cdr:relSizeAnchor xmlns:cdr="http://schemas.openxmlformats.org/drawingml/2006/chartDrawing">
    <cdr:from>
      <cdr:x>0.02109</cdr:x>
      <cdr:y>0.12434</cdr:y>
    </cdr:from>
    <cdr:to>
      <cdr:x>0.12271</cdr:x>
      <cdr:y>0.77369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690457" y="1113272"/>
          <a:ext cx="1849333" cy="331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0.27212</cdr:x>
      <cdr:y>0.88961</cdr:y>
    </cdr:from>
    <cdr:to>
      <cdr:x>0.81254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06975" y="2774174"/>
          <a:ext cx="1999831" cy="34424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  <a:p xmlns:a="http://schemas.openxmlformats.org/drawingml/2006/main">
          <a:pPr algn="ctr"/>
          <a:endParaRPr lang="en-US" sz="1400" b="0"/>
        </a:p>
      </cdr:txBody>
    </cdr:sp>
  </cdr:relSizeAnchor>
</c:userShapes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0.01218</cdr:x>
      <cdr:y>0.14803</cdr:y>
    </cdr:from>
    <cdr:to>
      <cdr:x>0.1054</cdr:x>
      <cdr:y>0.78905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774260" y="1280037"/>
          <a:ext cx="1991487" cy="3511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  <a:p xmlns:a="http://schemas.openxmlformats.org/drawingml/2006/main">
          <a:pPr algn="ctr"/>
          <a:endParaRPr lang="en-US" sz="1600"/>
        </a:p>
      </cdr:txBody>
    </cdr:sp>
  </cdr:relSizeAnchor>
  <cdr:relSizeAnchor xmlns:cdr="http://schemas.openxmlformats.org/drawingml/2006/chartDrawing">
    <cdr:from>
      <cdr:x>0.32096</cdr:x>
      <cdr:y>0.88959</cdr:y>
    </cdr:from>
    <cdr:to>
      <cdr:x>0.81672</cdr:x>
      <cdr:y>0.99857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209085" y="2763742"/>
          <a:ext cx="1867571" cy="33857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5642</xdr:colOff>
      <xdr:row>9</xdr:row>
      <xdr:rowOff>3865</xdr:rowOff>
    </xdr:from>
    <xdr:to>
      <xdr:col>9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72233E-DD9F-CA48-9D14-BFC6A9E4C6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7888</xdr:colOff>
      <xdr:row>9</xdr:row>
      <xdr:rowOff>5206</xdr:rowOff>
    </xdr:from>
    <xdr:to>
      <xdr:col>14</xdr:col>
      <xdr:colOff>1</xdr:colOff>
      <xdr:row>25</xdr:row>
      <xdr:rowOff>7889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CAEFF9-79D8-3F48-BD1B-8834318D04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</xdr:colOff>
      <xdr:row>9</xdr:row>
      <xdr:rowOff>3568</xdr:rowOff>
    </xdr:from>
    <xdr:to>
      <xdr:col>19</xdr:col>
      <xdr:colOff>7889</xdr:colOff>
      <xdr:row>25</xdr:row>
      <xdr:rowOff>8467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FEFBCF-39F3-EA48-9125-28A5736CF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0.00764</cdr:x>
      <cdr:y>0.11231</cdr:y>
    </cdr:from>
    <cdr:to>
      <cdr:x>0.10926</cdr:x>
      <cdr:y>0.75956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947492" y="1372832"/>
          <a:ext cx="2299120" cy="3513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0.28492</cdr:x>
      <cdr:y>0.8991</cdr:y>
    </cdr:from>
    <cdr:to>
      <cdr:x>0.82534</cdr:x>
      <cdr:y>0.96186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40516" y="3193719"/>
          <a:ext cx="1973591" cy="22294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47.xml><?xml version="1.0" encoding="utf-8"?>
<c:userShapes xmlns:c="http://schemas.openxmlformats.org/drawingml/2006/chart">
  <cdr:relSizeAnchor xmlns:cdr="http://schemas.openxmlformats.org/drawingml/2006/chartDrawing">
    <cdr:from>
      <cdr:x>0.02109</cdr:x>
      <cdr:y>0.12434</cdr:y>
    </cdr:from>
    <cdr:to>
      <cdr:x>0.12271</cdr:x>
      <cdr:y>0.77369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690457" y="1113272"/>
          <a:ext cx="1849333" cy="331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0.27212</cdr:x>
      <cdr:y>0.88961</cdr:y>
    </cdr:from>
    <cdr:to>
      <cdr:x>0.81254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06975" y="2774174"/>
          <a:ext cx="1999831" cy="34424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  <a:p xmlns:a="http://schemas.openxmlformats.org/drawingml/2006/main">
          <a:pPr algn="ctr"/>
          <a:endParaRPr lang="en-US" sz="1400" b="0"/>
        </a:p>
      </cdr:txBody>
    </cdr:sp>
  </cdr:relSizeAnchor>
</c:userShapes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0.01218</cdr:x>
      <cdr:y>0.14803</cdr:y>
    </cdr:from>
    <cdr:to>
      <cdr:x>0.1054</cdr:x>
      <cdr:y>0.78905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774260" y="1280037"/>
          <a:ext cx="1991487" cy="3511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  <a:p xmlns:a="http://schemas.openxmlformats.org/drawingml/2006/main">
          <a:pPr algn="ctr"/>
          <a:endParaRPr lang="en-US" sz="1600"/>
        </a:p>
      </cdr:txBody>
    </cdr:sp>
  </cdr:relSizeAnchor>
  <cdr:relSizeAnchor xmlns:cdr="http://schemas.openxmlformats.org/drawingml/2006/chartDrawing">
    <cdr:from>
      <cdr:x>0.32096</cdr:x>
      <cdr:y>0.88959</cdr:y>
    </cdr:from>
    <cdr:to>
      <cdr:x>0.81672</cdr:x>
      <cdr:y>0.99857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209085" y="2763742"/>
          <a:ext cx="1867571" cy="33857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5642</xdr:colOff>
      <xdr:row>9</xdr:row>
      <xdr:rowOff>3865</xdr:rowOff>
    </xdr:from>
    <xdr:to>
      <xdr:col>9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5FDB7E-09AA-CC4B-B486-1050F49B6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7888</xdr:colOff>
      <xdr:row>9</xdr:row>
      <xdr:rowOff>5206</xdr:rowOff>
    </xdr:from>
    <xdr:to>
      <xdr:col>14</xdr:col>
      <xdr:colOff>1</xdr:colOff>
      <xdr:row>25</xdr:row>
      <xdr:rowOff>7889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E61DB2-59D6-6444-BFFD-C8905205E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</xdr:colOff>
      <xdr:row>9</xdr:row>
      <xdr:rowOff>3568</xdr:rowOff>
    </xdr:from>
    <xdr:to>
      <xdr:col>19</xdr:col>
      <xdr:colOff>7889</xdr:colOff>
      <xdr:row>25</xdr:row>
      <xdr:rowOff>8467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5AA621-295E-2543-98D5-A4FA76115C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0.00764</cdr:x>
      <cdr:y>0.11231</cdr:y>
    </cdr:from>
    <cdr:to>
      <cdr:x>0.10926</cdr:x>
      <cdr:y>0.75956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947492" y="1372832"/>
          <a:ext cx="2299120" cy="3513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0.28492</cdr:x>
      <cdr:y>0.8991</cdr:y>
    </cdr:from>
    <cdr:to>
      <cdr:x>0.82534</cdr:x>
      <cdr:y>0.96186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40516" y="3193719"/>
          <a:ext cx="1973591" cy="22294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51.xml><?xml version="1.0" encoding="utf-8"?>
<c:userShapes xmlns:c="http://schemas.openxmlformats.org/drawingml/2006/chart">
  <cdr:relSizeAnchor xmlns:cdr="http://schemas.openxmlformats.org/drawingml/2006/chartDrawing">
    <cdr:from>
      <cdr:x>0.02109</cdr:x>
      <cdr:y>0.12434</cdr:y>
    </cdr:from>
    <cdr:to>
      <cdr:x>0.12271</cdr:x>
      <cdr:y>0.77369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690457" y="1113272"/>
          <a:ext cx="1849333" cy="331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0.27212</cdr:x>
      <cdr:y>0.88961</cdr:y>
    </cdr:from>
    <cdr:to>
      <cdr:x>0.81254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06975" y="2774174"/>
          <a:ext cx="1999831" cy="34424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  <a:p xmlns:a="http://schemas.openxmlformats.org/drawingml/2006/main">
          <a:pPr algn="ctr"/>
          <a:endParaRPr lang="en-US" sz="1400" b="0"/>
        </a:p>
      </cdr:txBody>
    </cdr:sp>
  </cdr:relSizeAnchor>
</c:userShapes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0.01218</cdr:x>
      <cdr:y>0.14803</cdr:y>
    </cdr:from>
    <cdr:to>
      <cdr:x>0.1054</cdr:x>
      <cdr:y>0.78905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774260" y="1280037"/>
          <a:ext cx="1991487" cy="3511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  <a:p xmlns:a="http://schemas.openxmlformats.org/drawingml/2006/main">
          <a:pPr algn="ctr"/>
          <a:endParaRPr lang="en-US" sz="1600"/>
        </a:p>
      </cdr:txBody>
    </cdr:sp>
  </cdr:relSizeAnchor>
  <cdr:relSizeAnchor xmlns:cdr="http://schemas.openxmlformats.org/drawingml/2006/chartDrawing">
    <cdr:from>
      <cdr:x>0.32096</cdr:x>
      <cdr:y>0.88959</cdr:y>
    </cdr:from>
    <cdr:to>
      <cdr:x>0.81672</cdr:x>
      <cdr:y>0.99857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209085" y="2763742"/>
          <a:ext cx="1867571" cy="33857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5642</xdr:colOff>
      <xdr:row>9</xdr:row>
      <xdr:rowOff>3865</xdr:rowOff>
    </xdr:from>
    <xdr:to>
      <xdr:col>9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2487EA-AF7B-B04B-9D1E-9946FCA9C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7888</xdr:colOff>
      <xdr:row>9</xdr:row>
      <xdr:rowOff>5206</xdr:rowOff>
    </xdr:from>
    <xdr:to>
      <xdr:col>14</xdr:col>
      <xdr:colOff>1</xdr:colOff>
      <xdr:row>25</xdr:row>
      <xdr:rowOff>7889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581D45-6923-FB45-9675-61C9729E0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</xdr:colOff>
      <xdr:row>9</xdr:row>
      <xdr:rowOff>3568</xdr:rowOff>
    </xdr:from>
    <xdr:to>
      <xdr:col>19</xdr:col>
      <xdr:colOff>7889</xdr:colOff>
      <xdr:row>25</xdr:row>
      <xdr:rowOff>8467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B9A106-FBD3-1843-8AD2-C53D4BDD9B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0.00764</cdr:x>
      <cdr:y>0.11231</cdr:y>
    </cdr:from>
    <cdr:to>
      <cdr:x>0.10926</cdr:x>
      <cdr:y>0.75956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947492" y="1372832"/>
          <a:ext cx="2299120" cy="3513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0.28492</cdr:x>
      <cdr:y>0.8991</cdr:y>
    </cdr:from>
    <cdr:to>
      <cdr:x>0.82534</cdr:x>
      <cdr:y>0.96186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40516" y="3193719"/>
          <a:ext cx="1973591" cy="22294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55.xml><?xml version="1.0" encoding="utf-8"?>
<c:userShapes xmlns:c="http://schemas.openxmlformats.org/drawingml/2006/chart">
  <cdr:relSizeAnchor xmlns:cdr="http://schemas.openxmlformats.org/drawingml/2006/chartDrawing">
    <cdr:from>
      <cdr:x>0.02109</cdr:x>
      <cdr:y>0.12434</cdr:y>
    </cdr:from>
    <cdr:to>
      <cdr:x>0.12271</cdr:x>
      <cdr:y>0.77369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690457" y="1113272"/>
          <a:ext cx="1849333" cy="331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0.27212</cdr:x>
      <cdr:y>0.88961</cdr:y>
    </cdr:from>
    <cdr:to>
      <cdr:x>0.81254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06975" y="2774174"/>
          <a:ext cx="1999831" cy="34424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  <a:p xmlns:a="http://schemas.openxmlformats.org/drawingml/2006/main">
          <a:pPr algn="ctr"/>
          <a:endParaRPr lang="en-US" sz="1400" b="0"/>
        </a:p>
      </cdr:txBody>
    </cdr:sp>
  </cdr:relSizeAnchor>
</c:userShapes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0.01218</cdr:x>
      <cdr:y>0.14803</cdr:y>
    </cdr:from>
    <cdr:to>
      <cdr:x>0.1054</cdr:x>
      <cdr:y>0.78905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774260" y="1280037"/>
          <a:ext cx="1991487" cy="3511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  <a:p xmlns:a="http://schemas.openxmlformats.org/drawingml/2006/main">
          <a:pPr algn="ctr"/>
          <a:endParaRPr lang="en-US" sz="1600"/>
        </a:p>
      </cdr:txBody>
    </cdr:sp>
  </cdr:relSizeAnchor>
  <cdr:relSizeAnchor xmlns:cdr="http://schemas.openxmlformats.org/drawingml/2006/chartDrawing">
    <cdr:from>
      <cdr:x>0.32096</cdr:x>
      <cdr:y>0.88959</cdr:y>
    </cdr:from>
    <cdr:to>
      <cdr:x>0.81672</cdr:x>
      <cdr:y>0.99857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209085" y="2763742"/>
          <a:ext cx="1867571" cy="33857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5642</xdr:colOff>
      <xdr:row>9</xdr:row>
      <xdr:rowOff>3865</xdr:rowOff>
    </xdr:from>
    <xdr:to>
      <xdr:col>9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7DA2B4-5BA8-474F-AF1A-547BF7A689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7888</xdr:colOff>
      <xdr:row>9</xdr:row>
      <xdr:rowOff>5206</xdr:rowOff>
    </xdr:from>
    <xdr:to>
      <xdr:col>14</xdr:col>
      <xdr:colOff>1</xdr:colOff>
      <xdr:row>25</xdr:row>
      <xdr:rowOff>7889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FCCF56-BC2B-2D46-ACAF-6356650270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</xdr:colOff>
      <xdr:row>9</xdr:row>
      <xdr:rowOff>3568</xdr:rowOff>
    </xdr:from>
    <xdr:to>
      <xdr:col>19</xdr:col>
      <xdr:colOff>7889</xdr:colOff>
      <xdr:row>25</xdr:row>
      <xdr:rowOff>8467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BED2D7-D33E-5B4B-B7CC-F8CFF5564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0.00764</cdr:x>
      <cdr:y>0.11231</cdr:y>
    </cdr:from>
    <cdr:to>
      <cdr:x>0.10926</cdr:x>
      <cdr:y>0.75956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947492" y="1372832"/>
          <a:ext cx="2299120" cy="3513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0.28492</cdr:x>
      <cdr:y>0.8991</cdr:y>
    </cdr:from>
    <cdr:to>
      <cdr:x>0.82534</cdr:x>
      <cdr:y>0.96186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40516" y="3193719"/>
          <a:ext cx="1973591" cy="22294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59.xml><?xml version="1.0" encoding="utf-8"?>
<c:userShapes xmlns:c="http://schemas.openxmlformats.org/drawingml/2006/chart">
  <cdr:relSizeAnchor xmlns:cdr="http://schemas.openxmlformats.org/drawingml/2006/chartDrawing">
    <cdr:from>
      <cdr:x>0.02109</cdr:x>
      <cdr:y>0.12434</cdr:y>
    </cdr:from>
    <cdr:to>
      <cdr:x>0.12271</cdr:x>
      <cdr:y>0.77369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690457" y="1113272"/>
          <a:ext cx="1849333" cy="331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0.27212</cdr:x>
      <cdr:y>0.88961</cdr:y>
    </cdr:from>
    <cdr:to>
      <cdr:x>0.81254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06975" y="2774174"/>
          <a:ext cx="1999831" cy="34424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  <a:p xmlns:a="http://schemas.openxmlformats.org/drawingml/2006/main">
          <a:pPr algn="ctr"/>
          <a:endParaRPr lang="en-US" sz="1400" b="0"/>
        </a:p>
      </cdr:txBody>
    </cdr:sp>
  </cdr:relSizeAnchor>
</c:userShapes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0.01218</cdr:x>
      <cdr:y>0.14803</cdr:y>
    </cdr:from>
    <cdr:to>
      <cdr:x>0.1054</cdr:x>
      <cdr:y>0.78905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774260" y="1280037"/>
          <a:ext cx="1991487" cy="3511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  <a:p xmlns:a="http://schemas.openxmlformats.org/drawingml/2006/main">
          <a:pPr algn="ctr"/>
          <a:endParaRPr lang="en-US" sz="1600"/>
        </a:p>
      </cdr:txBody>
    </cdr:sp>
  </cdr:relSizeAnchor>
  <cdr:relSizeAnchor xmlns:cdr="http://schemas.openxmlformats.org/drawingml/2006/chartDrawing">
    <cdr:from>
      <cdr:x>0.32096</cdr:x>
      <cdr:y>0.88959</cdr:y>
    </cdr:from>
    <cdr:to>
      <cdr:x>0.81672</cdr:x>
      <cdr:y>0.99857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209085" y="2763742"/>
          <a:ext cx="1867571" cy="33857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5642</xdr:colOff>
      <xdr:row>9</xdr:row>
      <xdr:rowOff>3865</xdr:rowOff>
    </xdr:from>
    <xdr:to>
      <xdr:col>9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D99DB7-63DC-D74B-8C39-0B70FFB40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7888</xdr:colOff>
      <xdr:row>9</xdr:row>
      <xdr:rowOff>5206</xdr:rowOff>
    </xdr:from>
    <xdr:to>
      <xdr:col>14</xdr:col>
      <xdr:colOff>1</xdr:colOff>
      <xdr:row>25</xdr:row>
      <xdr:rowOff>7889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4AAEFA-F202-594A-A1FF-F3AEA158D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</xdr:colOff>
      <xdr:row>9</xdr:row>
      <xdr:rowOff>3568</xdr:rowOff>
    </xdr:from>
    <xdr:to>
      <xdr:col>19</xdr:col>
      <xdr:colOff>7889</xdr:colOff>
      <xdr:row>25</xdr:row>
      <xdr:rowOff>8467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8DE48E-D36D-5B44-9120-4039191BB0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0.00764</cdr:x>
      <cdr:y>0.11231</cdr:y>
    </cdr:from>
    <cdr:to>
      <cdr:x>0.10926</cdr:x>
      <cdr:y>0.75956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947492" y="1372832"/>
          <a:ext cx="2299120" cy="3513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0.28492</cdr:x>
      <cdr:y>0.8991</cdr:y>
    </cdr:from>
    <cdr:to>
      <cdr:x>0.82534</cdr:x>
      <cdr:y>0.96186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40516" y="3193719"/>
          <a:ext cx="1973591" cy="22294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63.xml><?xml version="1.0" encoding="utf-8"?>
<c:userShapes xmlns:c="http://schemas.openxmlformats.org/drawingml/2006/chart">
  <cdr:relSizeAnchor xmlns:cdr="http://schemas.openxmlformats.org/drawingml/2006/chartDrawing">
    <cdr:from>
      <cdr:x>0.02109</cdr:x>
      <cdr:y>0.12434</cdr:y>
    </cdr:from>
    <cdr:to>
      <cdr:x>0.12271</cdr:x>
      <cdr:y>0.77369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690457" y="1113272"/>
          <a:ext cx="1849333" cy="331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0.27212</cdr:x>
      <cdr:y>0.88961</cdr:y>
    </cdr:from>
    <cdr:to>
      <cdr:x>0.81254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06975" y="2774174"/>
          <a:ext cx="1999831" cy="34424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  <a:p xmlns:a="http://schemas.openxmlformats.org/drawingml/2006/main">
          <a:pPr algn="ctr"/>
          <a:endParaRPr lang="en-US" sz="1400" b="0"/>
        </a:p>
      </cdr:txBody>
    </cdr:sp>
  </cdr:relSizeAnchor>
</c:userShapes>
</file>

<file path=xl/drawings/drawing64.xml><?xml version="1.0" encoding="utf-8"?>
<c:userShapes xmlns:c="http://schemas.openxmlformats.org/drawingml/2006/chart">
  <cdr:relSizeAnchor xmlns:cdr="http://schemas.openxmlformats.org/drawingml/2006/chartDrawing">
    <cdr:from>
      <cdr:x>0.01218</cdr:x>
      <cdr:y>0.14803</cdr:y>
    </cdr:from>
    <cdr:to>
      <cdr:x>0.1054</cdr:x>
      <cdr:y>0.78905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774260" y="1280037"/>
          <a:ext cx="1991487" cy="3511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  <a:p xmlns:a="http://schemas.openxmlformats.org/drawingml/2006/main">
          <a:pPr algn="ctr"/>
          <a:endParaRPr lang="en-US" sz="1600"/>
        </a:p>
      </cdr:txBody>
    </cdr:sp>
  </cdr:relSizeAnchor>
  <cdr:relSizeAnchor xmlns:cdr="http://schemas.openxmlformats.org/drawingml/2006/chartDrawing">
    <cdr:from>
      <cdr:x>0.32096</cdr:x>
      <cdr:y>0.88959</cdr:y>
    </cdr:from>
    <cdr:to>
      <cdr:x>0.81672</cdr:x>
      <cdr:y>0.99857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209085" y="2763742"/>
          <a:ext cx="1867571" cy="33857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5642</xdr:colOff>
      <xdr:row>9</xdr:row>
      <xdr:rowOff>3865</xdr:rowOff>
    </xdr:from>
    <xdr:to>
      <xdr:col>9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28FC50-FF9A-D84D-A1E5-AFD785723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7888</xdr:colOff>
      <xdr:row>9</xdr:row>
      <xdr:rowOff>5206</xdr:rowOff>
    </xdr:from>
    <xdr:to>
      <xdr:col>14</xdr:col>
      <xdr:colOff>1</xdr:colOff>
      <xdr:row>25</xdr:row>
      <xdr:rowOff>7889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C97B3C-98AF-3E49-8C78-7248FAB819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</xdr:colOff>
      <xdr:row>9</xdr:row>
      <xdr:rowOff>3568</xdr:rowOff>
    </xdr:from>
    <xdr:to>
      <xdr:col>19</xdr:col>
      <xdr:colOff>7889</xdr:colOff>
      <xdr:row>25</xdr:row>
      <xdr:rowOff>8467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C18D0C-DC3C-C74B-BB24-AC3C34A12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6.xml><?xml version="1.0" encoding="utf-8"?>
<c:userShapes xmlns:c="http://schemas.openxmlformats.org/drawingml/2006/chart">
  <cdr:relSizeAnchor xmlns:cdr="http://schemas.openxmlformats.org/drawingml/2006/chartDrawing">
    <cdr:from>
      <cdr:x>0.00764</cdr:x>
      <cdr:y>0.11231</cdr:y>
    </cdr:from>
    <cdr:to>
      <cdr:x>0.10926</cdr:x>
      <cdr:y>0.75956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947492" y="1372832"/>
          <a:ext cx="2299120" cy="3513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0.28492</cdr:x>
      <cdr:y>0.8991</cdr:y>
    </cdr:from>
    <cdr:to>
      <cdr:x>0.82534</cdr:x>
      <cdr:y>0.96186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40516" y="3193719"/>
          <a:ext cx="1973591" cy="22294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67.xml><?xml version="1.0" encoding="utf-8"?>
<c:userShapes xmlns:c="http://schemas.openxmlformats.org/drawingml/2006/chart">
  <cdr:relSizeAnchor xmlns:cdr="http://schemas.openxmlformats.org/drawingml/2006/chartDrawing">
    <cdr:from>
      <cdr:x>0.02109</cdr:x>
      <cdr:y>0.12434</cdr:y>
    </cdr:from>
    <cdr:to>
      <cdr:x>0.12271</cdr:x>
      <cdr:y>0.77369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690457" y="1113272"/>
          <a:ext cx="1849333" cy="331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0.27212</cdr:x>
      <cdr:y>0.88961</cdr:y>
    </cdr:from>
    <cdr:to>
      <cdr:x>0.81254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06975" y="2774174"/>
          <a:ext cx="1999831" cy="34424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  <a:p xmlns:a="http://schemas.openxmlformats.org/drawingml/2006/main">
          <a:pPr algn="ctr"/>
          <a:endParaRPr lang="en-US" sz="1400" b="0"/>
        </a:p>
      </cdr:txBody>
    </cdr:sp>
  </cdr:relSizeAnchor>
</c:userShapes>
</file>

<file path=xl/drawings/drawing68.xml><?xml version="1.0" encoding="utf-8"?>
<c:userShapes xmlns:c="http://schemas.openxmlformats.org/drawingml/2006/chart">
  <cdr:relSizeAnchor xmlns:cdr="http://schemas.openxmlformats.org/drawingml/2006/chartDrawing">
    <cdr:from>
      <cdr:x>0.01218</cdr:x>
      <cdr:y>0.14803</cdr:y>
    </cdr:from>
    <cdr:to>
      <cdr:x>0.1054</cdr:x>
      <cdr:y>0.78905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774260" y="1280037"/>
          <a:ext cx="1991487" cy="3511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  <a:p xmlns:a="http://schemas.openxmlformats.org/drawingml/2006/main">
          <a:pPr algn="ctr"/>
          <a:endParaRPr lang="en-US" sz="1600"/>
        </a:p>
      </cdr:txBody>
    </cdr:sp>
  </cdr:relSizeAnchor>
  <cdr:relSizeAnchor xmlns:cdr="http://schemas.openxmlformats.org/drawingml/2006/chartDrawing">
    <cdr:from>
      <cdr:x>0.32096</cdr:x>
      <cdr:y>0.88959</cdr:y>
    </cdr:from>
    <cdr:to>
      <cdr:x>0.81672</cdr:x>
      <cdr:y>0.99857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209085" y="2763742"/>
          <a:ext cx="1867571" cy="33857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5642</xdr:colOff>
      <xdr:row>9</xdr:row>
      <xdr:rowOff>3865</xdr:rowOff>
    </xdr:from>
    <xdr:to>
      <xdr:col>9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0471E4-D763-EA49-B64C-FCD0B888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7888</xdr:colOff>
      <xdr:row>9</xdr:row>
      <xdr:rowOff>5206</xdr:rowOff>
    </xdr:from>
    <xdr:to>
      <xdr:col>14</xdr:col>
      <xdr:colOff>1</xdr:colOff>
      <xdr:row>25</xdr:row>
      <xdr:rowOff>7889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534D9D-628A-B245-A4F9-761A6334E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</xdr:colOff>
      <xdr:row>9</xdr:row>
      <xdr:rowOff>3568</xdr:rowOff>
    </xdr:from>
    <xdr:to>
      <xdr:col>19</xdr:col>
      <xdr:colOff>7889</xdr:colOff>
      <xdr:row>25</xdr:row>
      <xdr:rowOff>8467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18AB88-B8E1-CC4C-9439-66A01D00AC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0.xml><?xml version="1.0" encoding="utf-8"?>
<c:userShapes xmlns:c="http://schemas.openxmlformats.org/drawingml/2006/chart">
  <cdr:relSizeAnchor xmlns:cdr="http://schemas.openxmlformats.org/drawingml/2006/chartDrawing">
    <cdr:from>
      <cdr:x>0.00764</cdr:x>
      <cdr:y>0.11231</cdr:y>
    </cdr:from>
    <cdr:to>
      <cdr:x>0.10926</cdr:x>
      <cdr:y>0.75956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947492" y="1372832"/>
          <a:ext cx="2299120" cy="3513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0.28492</cdr:x>
      <cdr:y>0.8991</cdr:y>
    </cdr:from>
    <cdr:to>
      <cdr:x>0.82534</cdr:x>
      <cdr:y>0.96186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40516" y="3193719"/>
          <a:ext cx="1973591" cy="22294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drawings/drawing71.xml><?xml version="1.0" encoding="utf-8"?>
<c:userShapes xmlns:c="http://schemas.openxmlformats.org/drawingml/2006/chart">
  <cdr:relSizeAnchor xmlns:cdr="http://schemas.openxmlformats.org/drawingml/2006/chartDrawing">
    <cdr:from>
      <cdr:x>0.02109</cdr:x>
      <cdr:y>0.12434</cdr:y>
    </cdr:from>
    <cdr:to>
      <cdr:x>0.12271</cdr:x>
      <cdr:y>0.77369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690457" y="1113272"/>
          <a:ext cx="1849333" cy="331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</cdr:txBody>
    </cdr:sp>
  </cdr:relSizeAnchor>
  <cdr:relSizeAnchor xmlns:cdr="http://schemas.openxmlformats.org/drawingml/2006/chartDrawing">
    <cdr:from>
      <cdr:x>0.27212</cdr:x>
      <cdr:y>0.88961</cdr:y>
    </cdr:from>
    <cdr:to>
      <cdr:x>0.81254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006975" y="2774174"/>
          <a:ext cx="1999831" cy="34424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  <a:p xmlns:a="http://schemas.openxmlformats.org/drawingml/2006/main">
          <a:pPr algn="ctr"/>
          <a:endParaRPr lang="en-US" sz="1400" b="0"/>
        </a:p>
      </cdr:txBody>
    </cdr:sp>
  </cdr:relSizeAnchor>
</c:userShapes>
</file>

<file path=xl/drawings/drawing72.xml><?xml version="1.0" encoding="utf-8"?>
<c:userShapes xmlns:c="http://schemas.openxmlformats.org/drawingml/2006/chart">
  <cdr:relSizeAnchor xmlns:cdr="http://schemas.openxmlformats.org/drawingml/2006/chartDrawing">
    <cdr:from>
      <cdr:x>0.01218</cdr:x>
      <cdr:y>0.14803</cdr:y>
    </cdr:from>
    <cdr:to>
      <cdr:x>0.1054</cdr:x>
      <cdr:y>0.78905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063DF79-B1E6-AA79-16D1-55319FD56381}"/>
            </a:ext>
          </a:extLst>
        </cdr:cNvPr>
        <cdr:cNvSpPr txBox="1"/>
      </cdr:nvSpPr>
      <cdr:spPr>
        <a:xfrm xmlns:a="http://schemas.openxmlformats.org/drawingml/2006/main" rot="16200000">
          <a:off x="-774260" y="1280037"/>
          <a:ext cx="1991487" cy="3511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/>
            <a:t>Signal</a:t>
          </a:r>
        </a:p>
        <a:p xmlns:a="http://schemas.openxmlformats.org/drawingml/2006/main">
          <a:pPr algn="ctr"/>
          <a:endParaRPr lang="en-US" sz="1600"/>
        </a:p>
      </cdr:txBody>
    </cdr:sp>
  </cdr:relSizeAnchor>
  <cdr:relSizeAnchor xmlns:cdr="http://schemas.openxmlformats.org/drawingml/2006/chartDrawing">
    <cdr:from>
      <cdr:x>0.32096</cdr:x>
      <cdr:y>0.88959</cdr:y>
    </cdr:from>
    <cdr:to>
      <cdr:x>0.81672</cdr:x>
      <cdr:y>0.99857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3FAEADA-429A-8939-9FD3-803F688BC5A2}"/>
            </a:ext>
          </a:extLst>
        </cdr:cNvPr>
        <cdr:cNvSpPr txBox="1"/>
      </cdr:nvSpPr>
      <cdr:spPr>
        <a:xfrm xmlns:a="http://schemas.openxmlformats.org/drawingml/2006/main">
          <a:off x="1209085" y="2763742"/>
          <a:ext cx="1867571" cy="33857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/>
            <a:t>Concentration (ppm)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0082C-0766-4FCF-AF99-31B7F1607A9E}">
  <dimension ref="A1:W50"/>
  <sheetViews>
    <sheetView tabSelected="1" zoomScaleNormal="100" workbookViewId="0">
      <pane ySplit="3" topLeftCell="A4" activePane="bottomLeft" state="frozen"/>
      <selection pane="bottomLeft" activeCell="W17" sqref="W17"/>
    </sheetView>
  </sheetViews>
  <sheetFormatPr baseColWidth="10" defaultColWidth="8.83203125" defaultRowHeight="15" x14ac:dyDescent="0.2"/>
  <cols>
    <col min="1" max="1" width="14.5" customWidth="1"/>
    <col min="2" max="2" width="11.5" style="6" bestFit="1" customWidth="1"/>
    <col min="3" max="3" width="2.83203125" customWidth="1"/>
    <col min="4" max="4" width="5.33203125" style="22" customWidth="1"/>
    <col min="5" max="5" width="12.5" style="22" bestFit="1" customWidth="1"/>
    <col min="6" max="6" width="16.83203125" bestFit="1" customWidth="1"/>
    <col min="7" max="7" width="18.33203125" customWidth="1"/>
    <col min="8" max="8" width="16.33203125" customWidth="1"/>
    <col min="9" max="9" width="10.5" style="7" customWidth="1"/>
    <col min="10" max="10" width="2.83203125" customWidth="1"/>
    <col min="11" max="11" width="4.83203125" bestFit="1" customWidth="1"/>
    <col min="12" max="12" width="10.83203125" bestFit="1" customWidth="1"/>
    <col min="13" max="13" width="15.1640625" bestFit="1" customWidth="1"/>
    <col min="14" max="14" width="12.83203125" bestFit="1" customWidth="1"/>
  </cols>
  <sheetData>
    <row r="1" spans="1:14" ht="20" customHeight="1" thickBot="1" x14ac:dyDescent="0.25">
      <c r="A1" s="21" t="s">
        <v>31</v>
      </c>
      <c r="B1" s="141" t="s">
        <v>120</v>
      </c>
    </row>
    <row r="2" spans="1:14" ht="20" customHeight="1" thickBot="1" x14ac:dyDescent="0.25">
      <c r="A2" s="151" t="s">
        <v>33</v>
      </c>
      <c r="B2" s="152"/>
      <c r="C2" s="1"/>
      <c r="D2" s="23"/>
      <c r="E2" s="155" t="s">
        <v>47</v>
      </c>
      <c r="F2" s="156"/>
      <c r="G2" s="156"/>
      <c r="H2" s="157"/>
      <c r="J2" s="124"/>
      <c r="K2" s="124"/>
      <c r="L2" s="158" t="s">
        <v>47</v>
      </c>
      <c r="M2" s="159"/>
      <c r="N2" s="160"/>
    </row>
    <row r="3" spans="1:14" ht="20" customHeight="1" thickBot="1" x14ac:dyDescent="0.25">
      <c r="A3" s="153"/>
      <c r="B3" s="154"/>
      <c r="E3" s="27" t="s">
        <v>98</v>
      </c>
      <c r="F3" s="28" t="s">
        <v>32</v>
      </c>
      <c r="G3" s="28" t="s">
        <v>48</v>
      </c>
      <c r="H3" s="29" t="s">
        <v>49</v>
      </c>
      <c r="I3" s="30" t="s">
        <v>81</v>
      </c>
      <c r="L3" s="27" t="s">
        <v>98</v>
      </c>
      <c r="M3" s="28" t="s">
        <v>32</v>
      </c>
      <c r="N3" s="29" t="s">
        <v>99</v>
      </c>
    </row>
    <row r="4" spans="1:14" ht="20" customHeight="1" thickBot="1" x14ac:dyDescent="0.25">
      <c r="A4" s="141"/>
      <c r="B4" s="141"/>
      <c r="D4" s="24" t="str">
        <f>SUBSTITUTE(SUBSTITUTE(TRIM(RIGHT(F4,4)),")",""),"(","")</f>
        <v>K</v>
      </c>
      <c r="E4" s="114" t="str">
        <f>$B$1</f>
        <v>ENTER SAMPLE NAME HERE</v>
      </c>
      <c r="F4" s="115" t="s">
        <v>62</v>
      </c>
      <c r="G4" s="116" t="str" cm="1">
        <f t="array" aca="1" ref="G4" ca="1">INDIRECT(""&amp;D4&amp;"!B3")</f>
        <v>—</v>
      </c>
      <c r="H4" s="117" t="str" cm="1">
        <f t="array" aca="1" ref="H4" ca="1">INDIRECT(""&amp;D4&amp;"!B4")</f>
        <v>No Signal</v>
      </c>
      <c r="I4" s="71">
        <f>VLOOKUP(D4,Caldat!$W$2:$Y$38,2,FALSE)</f>
        <v>15</v>
      </c>
      <c r="K4" s="24" t="str">
        <f>SUBSTITUTE(SUBSTITUTE(TRIM(RIGHT(M4,4)),")",""),"(","")</f>
        <v>Ca</v>
      </c>
      <c r="L4" s="125" t="str">
        <f t="shared" ref="L4:L23" si="0">$B$1</f>
        <v>ENTER SAMPLE NAME HERE</v>
      </c>
      <c r="M4" s="126" t="s">
        <v>52</v>
      </c>
      <c r="N4" s="127">
        <f>IFERROR(VLOOKUP(K4,$A$4:$B$100,2,FALSE),0)</f>
        <v>0</v>
      </c>
    </row>
    <row r="5" spans="1:14" ht="20" customHeight="1" thickBot="1" x14ac:dyDescent="0.25">
      <c r="A5" s="141"/>
      <c r="B5" s="141"/>
      <c r="D5" s="25" t="str">
        <f t="shared" ref="D5:D21" si="1">SUBSTITUTE(SUBSTITUTE(TRIM(RIGHT(F5,4)),")",""),"(","")</f>
        <v>Ca</v>
      </c>
      <c r="E5" s="118" t="str">
        <f t="shared" ref="E5:E21" si="2">$B$1</f>
        <v>ENTER SAMPLE NAME HERE</v>
      </c>
      <c r="F5" s="119" t="s">
        <v>52</v>
      </c>
      <c r="G5" s="109" t="str" cm="1">
        <f t="array" aca="1" ref="G5" ca="1">INDIRECT(""&amp;D5&amp;"!B3")</f>
        <v>—</v>
      </c>
      <c r="H5" s="110" t="str" cm="1">
        <f t="array" aca="1" ref="H5" ca="1">INDIRECT(""&amp;D5&amp;"!B4")</f>
        <v>No Signal</v>
      </c>
      <c r="I5" s="72">
        <f>VLOOKUP(D5,Caldat!$W$2:$Y$38,2,FALSE)</f>
        <v>15</v>
      </c>
      <c r="K5" s="25" t="str">
        <f t="shared" ref="K5:K30" si="3">SUBSTITUTE(SUBSTITUTE(TRIM(RIGHT(M5,4)),")",""),"(","")</f>
        <v>K</v>
      </c>
      <c r="L5" s="128" t="str">
        <f t="shared" si="0"/>
        <v>ENTER SAMPLE NAME HERE</v>
      </c>
      <c r="M5" s="129" t="s">
        <v>62</v>
      </c>
      <c r="N5" s="127">
        <f t="shared" ref="N5:N35" si="4">IFERROR(VLOOKUP(K5,$A$4:$B$100,2,FALSE),0)</f>
        <v>0</v>
      </c>
    </row>
    <row r="6" spans="1:14" ht="20" customHeight="1" thickBot="1" x14ac:dyDescent="0.25">
      <c r="A6" s="141"/>
      <c r="B6" s="141"/>
      <c r="D6" s="25" t="str">
        <f t="shared" si="1"/>
        <v>Cr</v>
      </c>
      <c r="E6" s="118" t="str">
        <f t="shared" si="2"/>
        <v>ENTER SAMPLE NAME HERE</v>
      </c>
      <c r="F6" s="119" t="s">
        <v>53</v>
      </c>
      <c r="G6" s="109" t="str" cm="1">
        <f t="array" aca="1" ref="G6" ca="1">INDIRECT(""&amp;D6&amp;"!B3")</f>
        <v>—</v>
      </c>
      <c r="H6" s="110" t="str" cm="1">
        <f t="array" aca="1" ref="H6" ca="1">INDIRECT(""&amp;D6&amp;"!B4")</f>
        <v>No Signal</v>
      </c>
      <c r="I6" s="72">
        <f>VLOOKUP(D6,Caldat!$W$2:$Y$38,2,FALSE)</f>
        <v>8</v>
      </c>
      <c r="K6" s="25" t="str">
        <f t="shared" si="3"/>
        <v>Cl</v>
      </c>
      <c r="L6" s="128" t="str">
        <f t="shared" si="0"/>
        <v>ENTER SAMPLE NAME HERE</v>
      </c>
      <c r="M6" s="129" t="s">
        <v>104</v>
      </c>
      <c r="N6" s="127">
        <f t="shared" si="4"/>
        <v>0</v>
      </c>
    </row>
    <row r="7" spans="1:14" ht="20" customHeight="1" thickBot="1" x14ac:dyDescent="0.25">
      <c r="A7" s="141"/>
      <c r="B7" s="141"/>
      <c r="D7" s="25" t="str">
        <f t="shared" si="1"/>
        <v>Mn</v>
      </c>
      <c r="E7" s="118" t="str">
        <f t="shared" si="2"/>
        <v>ENTER SAMPLE NAME HERE</v>
      </c>
      <c r="F7" s="119" t="s">
        <v>59</v>
      </c>
      <c r="G7" s="109" t="str" cm="1">
        <f t="array" aca="1" ref="G7" ca="1">INDIRECT(""&amp;D7&amp;"!B3")</f>
        <v>—</v>
      </c>
      <c r="H7" s="110" t="str" cm="1">
        <f t="array" aca="1" ref="H7" ca="1">INDIRECT(""&amp;D7&amp;"!B4")</f>
        <v>No Signal</v>
      </c>
      <c r="I7" s="72">
        <f>VLOOKUP(D7,Caldat!$W$2:$Y$38,2,FALSE)</f>
        <v>6</v>
      </c>
      <c r="K7" s="25" t="str">
        <f t="shared" si="3"/>
        <v>Mn</v>
      </c>
      <c r="L7" s="128" t="str">
        <f t="shared" si="0"/>
        <v>ENTER SAMPLE NAME HERE</v>
      </c>
      <c r="M7" s="129" t="s">
        <v>59</v>
      </c>
      <c r="N7" s="127">
        <f t="shared" si="4"/>
        <v>0</v>
      </c>
    </row>
    <row r="8" spans="1:14" ht="20" customHeight="1" thickBot="1" x14ac:dyDescent="0.25">
      <c r="A8" s="141"/>
      <c r="B8" s="141"/>
      <c r="D8" s="25" t="str">
        <f t="shared" si="1"/>
        <v>Fe</v>
      </c>
      <c r="E8" s="118" t="str">
        <f t="shared" si="2"/>
        <v>ENTER SAMPLE NAME HERE</v>
      </c>
      <c r="F8" s="119" t="s">
        <v>57</v>
      </c>
      <c r="G8" s="109" t="str" cm="1">
        <f t="array" aca="1" ref="G8" ca="1">INDIRECT(""&amp;D8&amp;"!B3")</f>
        <v>—</v>
      </c>
      <c r="H8" s="110" t="str" cm="1">
        <f t="array" aca="1" ref="H8" ca="1">INDIRECT(""&amp;D8&amp;"!B4")</f>
        <v>No Signal</v>
      </c>
      <c r="I8" s="72">
        <f>VLOOKUP(D8,Caldat!$W$2:$Y$38,2,FALSE)</f>
        <v>5</v>
      </c>
      <c r="K8" s="25" t="str">
        <f t="shared" si="3"/>
        <v>Fe</v>
      </c>
      <c r="L8" s="128" t="str">
        <f t="shared" si="0"/>
        <v>ENTER SAMPLE NAME HERE</v>
      </c>
      <c r="M8" s="129" t="s">
        <v>57</v>
      </c>
      <c r="N8" s="127">
        <f t="shared" si="4"/>
        <v>0</v>
      </c>
    </row>
    <row r="9" spans="1:14" ht="20" customHeight="1" thickBot="1" x14ac:dyDescent="0.25">
      <c r="A9" s="141"/>
      <c r="B9" s="141"/>
      <c r="D9" s="25" t="str">
        <f t="shared" si="1"/>
        <v>Ni</v>
      </c>
      <c r="E9" s="118" t="str">
        <f t="shared" si="2"/>
        <v>ENTER SAMPLE NAME HERE</v>
      </c>
      <c r="F9" s="119" t="s">
        <v>61</v>
      </c>
      <c r="G9" s="109" t="str" cm="1">
        <f t="array" aca="1" ref="G9" ca="1">INDIRECT(""&amp;D9&amp;"!B3")</f>
        <v>—</v>
      </c>
      <c r="H9" s="110" t="str" cm="1">
        <f t="array" aca="1" ref="H9" ca="1">INDIRECT(""&amp;D9&amp;"!B4")</f>
        <v>No Signal</v>
      </c>
      <c r="I9" s="72">
        <f>VLOOKUP(D9,Caldat!$W$2:$Y$38,2,FALSE)</f>
        <v>4</v>
      </c>
      <c r="K9" s="25" t="str">
        <f t="shared" si="3"/>
        <v>Si</v>
      </c>
      <c r="L9" s="128" t="str">
        <f t="shared" si="0"/>
        <v>ENTER SAMPLE NAME HERE</v>
      </c>
      <c r="M9" s="129" t="s">
        <v>100</v>
      </c>
      <c r="N9" s="127">
        <f t="shared" si="4"/>
        <v>0</v>
      </c>
    </row>
    <row r="10" spans="1:14" ht="20" customHeight="1" thickBot="1" x14ac:dyDescent="0.25">
      <c r="A10" s="141"/>
      <c r="B10" s="141"/>
      <c r="D10" s="25" t="str">
        <f t="shared" si="1"/>
        <v>Cu</v>
      </c>
      <c r="E10" s="118" t="str">
        <f t="shared" si="2"/>
        <v>ENTER SAMPLE NAME HERE</v>
      </c>
      <c r="F10" s="119" t="s">
        <v>55</v>
      </c>
      <c r="G10" s="109" t="str" cm="1">
        <f t="array" aca="1" ref="G10" ca="1">INDIRECT(""&amp;D10&amp;"!B3")</f>
        <v>—</v>
      </c>
      <c r="H10" s="110" t="str" cm="1">
        <f t="array" aca="1" ref="H10" ca="1">INDIRECT(""&amp;D10&amp;"!B4")</f>
        <v>No Signal</v>
      </c>
      <c r="I10" s="72">
        <f>VLOOKUP(D10,Caldat!$W$2:$Y$38,2,FALSE)</f>
        <v>4</v>
      </c>
      <c r="K10" s="25" t="str">
        <f t="shared" si="3"/>
        <v>Sr</v>
      </c>
      <c r="L10" s="128" t="str">
        <f t="shared" si="0"/>
        <v>ENTER SAMPLE NAME HERE</v>
      </c>
      <c r="M10" s="129" t="s">
        <v>64</v>
      </c>
      <c r="N10" s="127">
        <f t="shared" si="4"/>
        <v>0</v>
      </c>
    </row>
    <row r="11" spans="1:14" ht="20" customHeight="1" thickBot="1" x14ac:dyDescent="0.25">
      <c r="A11" s="141"/>
      <c r="B11" s="141"/>
      <c r="D11" s="25" t="str">
        <f t="shared" si="1"/>
        <v>Zn</v>
      </c>
      <c r="E11" s="118" t="str">
        <f t="shared" si="2"/>
        <v>ENTER SAMPLE NAME HERE</v>
      </c>
      <c r="F11" s="119" t="s">
        <v>67</v>
      </c>
      <c r="G11" s="109" t="str" cm="1">
        <f t="array" aca="1" ref="G11" ca="1">INDIRECT(""&amp;D11&amp;"!B3")</f>
        <v>—</v>
      </c>
      <c r="H11" s="110" t="str" cm="1">
        <f t="array" aca="1" ref="H11" ca="1">INDIRECT(""&amp;D11&amp;"!B4")</f>
        <v>No Signal</v>
      </c>
      <c r="I11" s="72">
        <f>VLOOKUP(D11,Caldat!$W$2:$Y$38,2,FALSE)</f>
        <v>5</v>
      </c>
      <c r="K11" s="25" t="str">
        <f t="shared" si="3"/>
        <v>S</v>
      </c>
      <c r="L11" s="128" t="str">
        <f t="shared" si="0"/>
        <v>ENTER SAMPLE NAME HERE</v>
      </c>
      <c r="M11" s="129" t="s">
        <v>102</v>
      </c>
      <c r="N11" s="127">
        <f t="shared" si="4"/>
        <v>0</v>
      </c>
    </row>
    <row r="12" spans="1:14" ht="20" customHeight="1" thickBot="1" x14ac:dyDescent="0.25">
      <c r="A12" s="141"/>
      <c r="B12" s="141"/>
      <c r="D12" s="25" t="str">
        <f t="shared" si="1"/>
        <v>Sr</v>
      </c>
      <c r="E12" s="118" t="str">
        <f t="shared" si="2"/>
        <v>ENTER SAMPLE NAME HERE</v>
      </c>
      <c r="F12" s="119" t="s">
        <v>64</v>
      </c>
      <c r="G12" s="109" t="str" cm="1">
        <f t="array" aca="1" ref="G12" ca="1">INDIRECT(""&amp;D12&amp;"!B3")</f>
        <v>—</v>
      </c>
      <c r="H12" s="110" t="str" cm="1">
        <f t="array" aca="1" ref="H12" ca="1">INDIRECT(""&amp;D12&amp;"!B4")</f>
        <v>No Signal</v>
      </c>
      <c r="I12" s="72">
        <f>VLOOKUP(D12,Caldat!$W$2:$Y$38,2,FALSE)</f>
        <v>3</v>
      </c>
      <c r="K12" s="25" t="str">
        <f t="shared" si="3"/>
        <v>Ti</v>
      </c>
      <c r="L12" s="128" t="str">
        <f t="shared" si="0"/>
        <v>ENTER SAMPLE NAME HERE</v>
      </c>
      <c r="M12" s="129" t="s">
        <v>103</v>
      </c>
      <c r="N12" s="127">
        <f t="shared" si="4"/>
        <v>0</v>
      </c>
    </row>
    <row r="13" spans="1:14" ht="20" customHeight="1" thickBot="1" x14ac:dyDescent="0.25">
      <c r="A13" s="141"/>
      <c r="B13" s="141"/>
      <c r="D13" s="25" t="str">
        <f t="shared" si="1"/>
        <v>Mo</v>
      </c>
      <c r="E13" s="118" t="str">
        <f t="shared" si="2"/>
        <v>ENTER SAMPLE NAME HERE</v>
      </c>
      <c r="F13" s="119" t="s">
        <v>60</v>
      </c>
      <c r="G13" s="109" t="str" cm="1">
        <f t="array" aca="1" ref="G13" ca="1">INDIRECT(""&amp;D13&amp;"!B3")</f>
        <v>—</v>
      </c>
      <c r="H13" s="110" t="str" cm="1">
        <f t="array" aca="1" ref="H13" ca="1">INDIRECT(""&amp;D13&amp;"!B4")</f>
        <v>No Signal</v>
      </c>
      <c r="I13" s="72">
        <f>VLOOKUP(D13,Caldat!$W$2:$Y$38,2,FALSE)</f>
        <v>3</v>
      </c>
      <c r="K13" s="25" t="str">
        <f t="shared" si="3"/>
        <v>Cu</v>
      </c>
      <c r="L13" s="128" t="str">
        <f t="shared" si="0"/>
        <v>ENTER SAMPLE NAME HERE</v>
      </c>
      <c r="M13" s="129" t="s">
        <v>55</v>
      </c>
      <c r="N13" s="127">
        <f t="shared" si="4"/>
        <v>0</v>
      </c>
    </row>
    <row r="14" spans="1:14" ht="20" customHeight="1" thickBot="1" x14ac:dyDescent="0.25">
      <c r="A14" s="141"/>
      <c r="B14" s="141"/>
      <c r="D14" s="25" t="str">
        <f t="shared" si="1"/>
        <v>Pb</v>
      </c>
      <c r="E14" s="118" t="str">
        <f t="shared" si="2"/>
        <v>ENTER SAMPLE NAME HERE</v>
      </c>
      <c r="F14" s="119" t="s">
        <v>58</v>
      </c>
      <c r="G14" s="109" t="str" cm="1">
        <f t="array" aca="1" ref="G14" ca="1">INDIRECT(""&amp;D14&amp;"!B3")</f>
        <v>—</v>
      </c>
      <c r="H14" s="110" t="str" cm="1">
        <f t="array" aca="1" ref="H14" ca="1">INDIRECT(""&amp;D14&amp;"!B4")</f>
        <v>No Signal</v>
      </c>
      <c r="I14" s="72">
        <f>VLOOKUP(D14,Caldat!$W$2:$Y$38,2,FALSE)</f>
        <v>10</v>
      </c>
      <c r="K14" s="25" t="str">
        <f t="shared" si="3"/>
        <v>Zn</v>
      </c>
      <c r="L14" s="128" t="str">
        <f t="shared" si="0"/>
        <v>ENTER SAMPLE NAME HERE</v>
      </c>
      <c r="M14" s="129" t="s">
        <v>67</v>
      </c>
      <c r="N14" s="127">
        <f t="shared" si="4"/>
        <v>0</v>
      </c>
    </row>
    <row r="15" spans="1:14" ht="20" customHeight="1" thickBot="1" x14ac:dyDescent="0.25">
      <c r="A15" s="141"/>
      <c r="B15" s="141"/>
      <c r="D15" s="25" t="str">
        <f t="shared" si="1"/>
        <v>Co</v>
      </c>
      <c r="E15" s="118" t="str">
        <f t="shared" si="2"/>
        <v>ENTER SAMPLE NAME HERE</v>
      </c>
      <c r="F15" s="119" t="s">
        <v>54</v>
      </c>
      <c r="G15" s="109" t="str" cm="1">
        <f t="array" aca="1" ref="G15" ca="1">INDIRECT(""&amp;D15&amp;"!B3")</f>
        <v>—</v>
      </c>
      <c r="H15" s="110" t="str" cm="1">
        <f t="array" aca="1" ref="H15" ca="1">INDIRECT(""&amp;D15&amp;"!B4")</f>
        <v>No Signal</v>
      </c>
      <c r="I15" s="72">
        <f>VLOOKUP(D15,Caldat!$W$2:$Y$38,2,FALSE)</f>
        <v>5</v>
      </c>
      <c r="K15" s="25" t="str">
        <f t="shared" si="3"/>
        <v>Te</v>
      </c>
      <c r="L15" s="128" t="str">
        <f t="shared" si="0"/>
        <v>ENTER SAMPLE NAME HERE</v>
      </c>
      <c r="M15" s="129" t="s">
        <v>110</v>
      </c>
      <c r="N15" s="127">
        <f t="shared" si="4"/>
        <v>0</v>
      </c>
    </row>
    <row r="16" spans="1:14" ht="20" customHeight="1" thickBot="1" x14ac:dyDescent="0.25">
      <c r="A16" s="141"/>
      <c r="B16" s="141"/>
      <c r="D16" s="25" t="str">
        <f t="shared" si="1"/>
        <v>V</v>
      </c>
      <c r="E16" s="118" t="str">
        <f t="shared" si="2"/>
        <v>ENTER SAMPLE NAME HERE</v>
      </c>
      <c r="F16" s="119" t="s">
        <v>66</v>
      </c>
      <c r="G16" s="109" t="str" cm="1">
        <f t="array" aca="1" ref="G16" ca="1">INDIRECT(""&amp;D16&amp;"!B3")</f>
        <v>—</v>
      </c>
      <c r="H16" s="110" t="str" cm="1">
        <f t="array" aca="1" ref="H16" ca="1">INDIRECT(""&amp;D16&amp;"!B4")</f>
        <v>No Signal</v>
      </c>
      <c r="I16" s="72">
        <f>VLOOKUP(D16,Caldat!$W$2:$Y$38,2,FALSE)</f>
        <v>10</v>
      </c>
      <c r="K16" s="25" t="str">
        <f t="shared" si="3"/>
        <v>Sn</v>
      </c>
      <c r="L16" s="128" t="str">
        <f t="shared" si="0"/>
        <v>ENTER SAMPLE NAME HERE</v>
      </c>
      <c r="M16" s="129" t="s">
        <v>107</v>
      </c>
      <c r="N16" s="127">
        <f t="shared" si="4"/>
        <v>0</v>
      </c>
    </row>
    <row r="17" spans="1:23" ht="20" customHeight="1" thickBot="1" x14ac:dyDescent="0.25">
      <c r="A17" s="141"/>
      <c r="B17" s="141"/>
      <c r="D17" s="25" t="str">
        <f t="shared" si="1"/>
        <v>Cd</v>
      </c>
      <c r="E17" s="118" t="str">
        <f t="shared" si="2"/>
        <v>ENTER SAMPLE NAME HERE</v>
      </c>
      <c r="F17" s="119" t="s">
        <v>51</v>
      </c>
      <c r="G17" s="109" t="str" cm="1">
        <f t="array" aca="1" ref="G17" ca="1">INDIRECT(""&amp;D17&amp;"!B3")</f>
        <v>—</v>
      </c>
      <c r="H17" s="110" t="str" cm="1">
        <f t="array" aca="1" ref="H17" ca="1">INDIRECT(""&amp;D17&amp;"!B4")</f>
        <v>No Signal</v>
      </c>
      <c r="I17" s="72">
        <f>VLOOKUP(D17,Caldat!$W$2:$Y$38,2,FALSE)</f>
        <v>15</v>
      </c>
      <c r="K17" s="25" t="str">
        <f t="shared" si="3"/>
        <v>Cr</v>
      </c>
      <c r="L17" s="128" t="str">
        <f t="shared" si="0"/>
        <v>ENTER SAMPLE NAME HERE</v>
      </c>
      <c r="M17" s="129" t="s">
        <v>53</v>
      </c>
      <c r="N17" s="127">
        <f t="shared" si="4"/>
        <v>0</v>
      </c>
    </row>
    <row r="18" spans="1:23" ht="20" customHeight="1" thickBot="1" x14ac:dyDescent="0.25">
      <c r="A18" s="141"/>
      <c r="B18" s="141"/>
      <c r="D18" s="25" t="str">
        <f t="shared" si="1"/>
        <v>Rb</v>
      </c>
      <c r="E18" s="118" t="str">
        <f t="shared" si="2"/>
        <v>ENTER SAMPLE NAME HERE</v>
      </c>
      <c r="F18" s="119" t="s">
        <v>63</v>
      </c>
      <c r="G18" s="109" t="str" cm="1">
        <f t="array" aca="1" ref="G18" ca="1">INDIRECT(""&amp;D18&amp;"!B3")</f>
        <v>—</v>
      </c>
      <c r="H18" s="110" t="str" cm="1">
        <f t="array" aca="1" ref="H18" ca="1">INDIRECT(""&amp;D18&amp;"!B4")</f>
        <v>No Signal</v>
      </c>
      <c r="I18" s="72">
        <f>VLOOKUP(D18,Caldat!$W$2:$Y$38,2,FALSE)</f>
        <v>4</v>
      </c>
      <c r="K18" s="25" t="str">
        <f t="shared" si="3"/>
        <v>Ce</v>
      </c>
      <c r="L18" s="128" t="str">
        <f t="shared" si="0"/>
        <v>ENTER SAMPLE NAME HERE</v>
      </c>
      <c r="M18" s="129" t="s">
        <v>105</v>
      </c>
      <c r="N18" s="127">
        <f t="shared" si="4"/>
        <v>0</v>
      </c>
      <c r="R18" s="141"/>
      <c r="S18" s="141"/>
    </row>
    <row r="19" spans="1:23" ht="20" customHeight="1" thickBot="1" x14ac:dyDescent="0.25">
      <c r="A19" s="141"/>
      <c r="B19" s="141"/>
      <c r="D19" s="25" t="str">
        <f t="shared" si="1"/>
        <v>Ga</v>
      </c>
      <c r="E19" s="118" t="str">
        <f t="shared" si="2"/>
        <v>ENTER SAMPLE NAME HERE</v>
      </c>
      <c r="F19" s="119" t="s">
        <v>56</v>
      </c>
      <c r="G19" s="109" t="str" cm="1">
        <f t="array" aca="1" ref="G19" ca="1">INDIRECT(""&amp;D19&amp;"!B3")</f>
        <v>—</v>
      </c>
      <c r="H19" s="110" t="str" cm="1">
        <f t="array" aca="1" ref="H19" ca="1">INDIRECT(""&amp;D19&amp;"!B4")</f>
        <v>No Signal</v>
      </c>
      <c r="I19" s="72">
        <f>VLOOKUP(D19,Caldat!$W$2:$Y$38,2,FALSE)</f>
        <v>5</v>
      </c>
      <c r="K19" s="25" t="str">
        <f t="shared" si="3"/>
        <v>Rb</v>
      </c>
      <c r="L19" s="128" t="str">
        <f t="shared" si="0"/>
        <v>ENTER SAMPLE NAME HERE</v>
      </c>
      <c r="M19" s="129" t="s">
        <v>63</v>
      </c>
      <c r="N19" s="127">
        <f t="shared" si="4"/>
        <v>0</v>
      </c>
      <c r="R19" s="141"/>
      <c r="S19" s="141"/>
      <c r="T19" s="141"/>
    </row>
    <row r="20" spans="1:23" ht="20" customHeight="1" thickBot="1" x14ac:dyDescent="0.25">
      <c r="A20" s="141"/>
      <c r="B20" s="141"/>
      <c r="D20" s="25" t="str">
        <f t="shared" si="1"/>
        <v>Bi</v>
      </c>
      <c r="E20" s="118" t="str">
        <f t="shared" si="2"/>
        <v>ENTER SAMPLE NAME HERE</v>
      </c>
      <c r="F20" s="119" t="s">
        <v>50</v>
      </c>
      <c r="G20" s="109" t="str" cm="1">
        <f t="array" aca="1" ref="G20" ca="1">INDIRECT(""&amp;D20&amp;"!B3")</f>
        <v>—</v>
      </c>
      <c r="H20" s="110" t="str" cm="1">
        <f t="array" aca="1" ref="H20" ca="1">INDIRECT(""&amp;D20&amp;"!B4")</f>
        <v>No Signal</v>
      </c>
      <c r="I20" s="72">
        <f>VLOOKUP(D20,Caldat!$W$2:$Y$38,2,FALSE)</f>
        <v>10</v>
      </c>
      <c r="K20" s="25" t="str">
        <f t="shared" si="3"/>
        <v>Zr</v>
      </c>
      <c r="L20" s="128" t="str">
        <f t="shared" si="0"/>
        <v>ENTER SAMPLE NAME HERE</v>
      </c>
      <c r="M20" s="129" t="s">
        <v>106</v>
      </c>
      <c r="N20" s="127">
        <f t="shared" si="4"/>
        <v>0</v>
      </c>
      <c r="R20" s="141"/>
      <c r="S20" s="141"/>
      <c r="T20" s="141"/>
    </row>
    <row r="21" spans="1:23" ht="20" customHeight="1" thickBot="1" x14ac:dyDescent="0.25">
      <c r="A21" s="141"/>
      <c r="B21" s="141"/>
      <c r="D21" s="26" t="str">
        <f t="shared" si="1"/>
        <v>Tl</v>
      </c>
      <c r="E21" s="120" t="str">
        <f t="shared" si="2"/>
        <v>ENTER SAMPLE NAME HERE</v>
      </c>
      <c r="F21" s="121" t="s">
        <v>65</v>
      </c>
      <c r="G21" s="111" t="str" cm="1">
        <f t="array" aca="1" ref="G21" ca="1">INDIRECT(""&amp;D21&amp;"!B3")</f>
        <v>—</v>
      </c>
      <c r="H21" s="112" t="str" cm="1">
        <f t="array" aca="1" ref="H21" ca="1">INDIRECT(""&amp;D21&amp;"!B4")</f>
        <v>No Signal</v>
      </c>
      <c r="I21" s="73">
        <f>VLOOKUP(D21,Caldat!$W$2:$Y$38,2,FALSE)</f>
        <v>10</v>
      </c>
      <c r="K21" s="25" t="str">
        <f t="shared" si="3"/>
        <v>P</v>
      </c>
      <c r="L21" s="128" t="str">
        <f t="shared" si="0"/>
        <v>ENTER SAMPLE NAME HERE</v>
      </c>
      <c r="M21" s="129" t="s">
        <v>101</v>
      </c>
      <c r="N21" s="127">
        <f t="shared" si="4"/>
        <v>0</v>
      </c>
      <c r="R21" s="141"/>
      <c r="S21" s="141"/>
      <c r="V21" s="151"/>
      <c r="W21" s="152"/>
    </row>
    <row r="22" spans="1:23" ht="20" customHeight="1" thickBot="1" x14ac:dyDescent="0.25">
      <c r="A22" s="141"/>
      <c r="B22" s="141"/>
      <c r="K22" s="25" t="str">
        <f t="shared" si="3"/>
        <v>Ni</v>
      </c>
      <c r="L22" s="128" t="str">
        <f t="shared" si="0"/>
        <v>ENTER SAMPLE NAME HERE</v>
      </c>
      <c r="M22" s="129" t="s">
        <v>61</v>
      </c>
      <c r="N22" s="127">
        <f t="shared" si="4"/>
        <v>0</v>
      </c>
      <c r="R22" s="141"/>
      <c r="S22" s="141"/>
      <c r="V22" s="153"/>
      <c r="W22" s="154"/>
    </row>
    <row r="23" spans="1:23" ht="20" customHeight="1" thickBot="1" x14ac:dyDescent="0.25">
      <c r="A23" s="141"/>
      <c r="B23" s="141"/>
      <c r="K23" s="25" t="str">
        <f>SUBSTITUTE(SUBSTITUTE(TRIM(RIGHT(M23,4)),")",""),"(","")</f>
        <v>V</v>
      </c>
      <c r="L23" s="128" t="str">
        <f t="shared" si="0"/>
        <v>ENTER SAMPLE NAME HERE</v>
      </c>
      <c r="M23" s="129" t="s">
        <v>66</v>
      </c>
      <c r="N23" s="127">
        <f t="shared" si="4"/>
        <v>0</v>
      </c>
      <c r="R23" s="141"/>
      <c r="S23" s="141"/>
    </row>
    <row r="24" spans="1:23" ht="20" customHeight="1" thickBot="1" x14ac:dyDescent="0.25">
      <c r="A24" s="141"/>
      <c r="B24" s="141"/>
      <c r="K24" s="25" t="str">
        <f t="shared" si="3"/>
        <v>Y</v>
      </c>
      <c r="L24" s="128" t="str">
        <f t="shared" ref="L24" si="5">$B$1</f>
        <v>ENTER SAMPLE NAME HERE</v>
      </c>
      <c r="M24" s="129" t="s">
        <v>112</v>
      </c>
      <c r="N24" s="127">
        <f t="shared" si="4"/>
        <v>0</v>
      </c>
      <c r="R24" s="141"/>
      <c r="S24" s="141"/>
    </row>
    <row r="25" spans="1:23" ht="20" customHeight="1" thickBot="1" x14ac:dyDescent="0.25">
      <c r="A25" s="141"/>
      <c r="B25" s="141"/>
      <c r="K25" s="25" t="str">
        <f t="shared" si="3"/>
        <v>Mo</v>
      </c>
      <c r="L25" s="128" t="str">
        <f t="shared" ref="L25" si="6">$B$1</f>
        <v>ENTER SAMPLE NAME HERE</v>
      </c>
      <c r="M25" s="129" t="s">
        <v>60</v>
      </c>
      <c r="N25" s="127">
        <f t="shared" si="4"/>
        <v>0</v>
      </c>
      <c r="R25" s="141"/>
      <c r="S25" s="141"/>
      <c r="U25" s="141"/>
      <c r="V25" s="141"/>
      <c r="W25" s="141"/>
    </row>
    <row r="26" spans="1:23" ht="20" customHeight="1" thickBot="1" x14ac:dyDescent="0.25">
      <c r="A26" s="141"/>
      <c r="B26" s="141"/>
      <c r="K26" s="25" t="str">
        <f t="shared" si="3"/>
        <v>W</v>
      </c>
      <c r="L26" s="128" t="str">
        <f t="shared" ref="L26:L34" si="7">$B$1</f>
        <v>ENTER SAMPLE NAME HERE</v>
      </c>
      <c r="M26" s="129" t="s">
        <v>111</v>
      </c>
      <c r="N26" s="127">
        <f t="shared" si="4"/>
        <v>0</v>
      </c>
      <c r="R26" s="141"/>
      <c r="S26" s="141"/>
      <c r="U26" s="141"/>
      <c r="V26" s="141"/>
      <c r="W26" s="141"/>
    </row>
    <row r="27" spans="1:23" ht="20" customHeight="1" thickBot="1" x14ac:dyDescent="0.25">
      <c r="A27" s="70"/>
      <c r="B27" s="122"/>
      <c r="K27" s="25" t="str">
        <f t="shared" si="3"/>
        <v>As</v>
      </c>
      <c r="L27" s="128" t="str">
        <f t="shared" si="7"/>
        <v>ENTER SAMPLE NAME HERE</v>
      </c>
      <c r="M27" s="129" t="s">
        <v>108</v>
      </c>
      <c r="N27" s="127">
        <f t="shared" si="4"/>
        <v>0</v>
      </c>
      <c r="R27" s="141"/>
      <c r="S27" s="141"/>
      <c r="V27" s="141"/>
      <c r="W27" s="141"/>
    </row>
    <row r="28" spans="1:23" ht="20" customHeight="1" thickBot="1" x14ac:dyDescent="0.25">
      <c r="A28" s="70"/>
      <c r="B28" s="122"/>
      <c r="K28" s="25" t="str">
        <f t="shared" si="3"/>
        <v>Bi</v>
      </c>
      <c r="L28" s="128" t="str">
        <f t="shared" si="7"/>
        <v>ENTER SAMPLE NAME HERE</v>
      </c>
      <c r="M28" s="129" t="s">
        <v>50</v>
      </c>
      <c r="N28" s="127">
        <f t="shared" si="4"/>
        <v>0</v>
      </c>
      <c r="R28" s="141"/>
      <c r="S28" s="141"/>
      <c r="V28" s="141"/>
      <c r="W28" s="141"/>
    </row>
    <row r="29" spans="1:23" ht="20" customHeight="1" thickBot="1" x14ac:dyDescent="0.25">
      <c r="A29" s="70"/>
      <c r="B29" s="122"/>
      <c r="K29" s="25" t="str">
        <f t="shared" si="3"/>
        <v>Cd</v>
      </c>
      <c r="L29" s="128" t="str">
        <f t="shared" si="7"/>
        <v>ENTER SAMPLE NAME HERE</v>
      </c>
      <c r="M29" s="129" t="s">
        <v>51</v>
      </c>
      <c r="N29" s="127">
        <f t="shared" si="4"/>
        <v>0</v>
      </c>
      <c r="R29" s="141"/>
      <c r="S29" s="141"/>
      <c r="V29" s="141"/>
      <c r="W29" s="141"/>
    </row>
    <row r="30" spans="1:23" ht="20" customHeight="1" thickBot="1" x14ac:dyDescent="0.25">
      <c r="A30" s="70"/>
      <c r="B30" s="122"/>
      <c r="K30" s="25" t="str">
        <f t="shared" si="3"/>
        <v>Co</v>
      </c>
      <c r="L30" s="128" t="str">
        <f t="shared" si="7"/>
        <v>ENTER SAMPLE NAME HERE</v>
      </c>
      <c r="M30" s="129" t="s">
        <v>54</v>
      </c>
      <c r="N30" s="127">
        <f t="shared" si="4"/>
        <v>0</v>
      </c>
      <c r="R30" s="141"/>
      <c r="S30" s="141"/>
      <c r="V30" s="141"/>
      <c r="W30" s="141"/>
    </row>
    <row r="31" spans="1:23" ht="20" customHeight="1" thickBot="1" x14ac:dyDescent="0.25">
      <c r="A31" s="70"/>
      <c r="B31" s="122"/>
      <c r="K31" s="25" t="str">
        <f>SUBSTITUTE(SUBSTITUTE(TRIM(RIGHT(M31,4)),")",""),"(","")</f>
        <v>Ga</v>
      </c>
      <c r="L31" s="128" t="str">
        <f t="shared" si="7"/>
        <v>ENTER SAMPLE NAME HERE</v>
      </c>
      <c r="M31" s="129" t="s">
        <v>56</v>
      </c>
      <c r="N31" s="127">
        <f t="shared" si="4"/>
        <v>0</v>
      </c>
      <c r="R31" s="141"/>
      <c r="S31" s="141"/>
      <c r="V31" s="141"/>
      <c r="W31" s="141"/>
    </row>
    <row r="32" spans="1:23" ht="20" customHeight="1" thickBot="1" x14ac:dyDescent="0.25">
      <c r="A32" s="70"/>
      <c r="B32" s="122"/>
      <c r="K32" s="25" t="str">
        <f t="shared" ref="K32:K35" si="8">SUBSTITUTE(SUBSTITUTE(TRIM(RIGHT(M32,4)),")",""),"(","")</f>
        <v>Ir</v>
      </c>
      <c r="L32" s="128" t="str">
        <f t="shared" si="7"/>
        <v>ENTER SAMPLE NAME HERE</v>
      </c>
      <c r="M32" s="129" t="s">
        <v>109</v>
      </c>
      <c r="N32" s="127">
        <f t="shared" si="4"/>
        <v>0</v>
      </c>
      <c r="R32" s="141"/>
      <c r="S32" s="141"/>
      <c r="V32" s="141"/>
      <c r="W32" s="141"/>
    </row>
    <row r="33" spans="1:23" ht="20" customHeight="1" thickBot="1" x14ac:dyDescent="0.25">
      <c r="A33" s="70"/>
      <c r="B33" s="122"/>
      <c r="K33" s="25" t="str">
        <f t="shared" si="8"/>
        <v>Pb</v>
      </c>
      <c r="L33" s="128" t="str">
        <f t="shared" si="7"/>
        <v>ENTER SAMPLE NAME HERE</v>
      </c>
      <c r="M33" s="129" t="s">
        <v>58</v>
      </c>
      <c r="N33" s="127">
        <f t="shared" si="4"/>
        <v>0</v>
      </c>
      <c r="R33" s="141"/>
      <c r="S33" s="141"/>
      <c r="V33" s="141"/>
      <c r="W33" s="141"/>
    </row>
    <row r="34" spans="1:23" ht="20" customHeight="1" thickBot="1" x14ac:dyDescent="0.25">
      <c r="A34" s="70"/>
      <c r="B34" s="122"/>
      <c r="K34" s="25" t="str">
        <f t="shared" si="8"/>
        <v>Tl</v>
      </c>
      <c r="L34" s="128" t="str">
        <f t="shared" si="7"/>
        <v>ENTER SAMPLE NAME HERE</v>
      </c>
      <c r="M34" s="129" t="s">
        <v>65</v>
      </c>
      <c r="N34" s="127">
        <f t="shared" si="4"/>
        <v>0</v>
      </c>
      <c r="R34" s="141"/>
      <c r="S34" s="141"/>
      <c r="V34" s="141"/>
      <c r="W34" s="141"/>
    </row>
    <row r="35" spans="1:23" ht="20" customHeight="1" thickBot="1" x14ac:dyDescent="0.25">
      <c r="A35" s="113"/>
      <c r="B35" s="123"/>
      <c r="K35" s="26" t="str">
        <f t="shared" si="8"/>
        <v>Cs</v>
      </c>
      <c r="L35" s="130" t="str">
        <f t="shared" ref="L35" si="9">$B$1</f>
        <v>ENTER SAMPLE NAME HERE</v>
      </c>
      <c r="M35" s="131" t="s">
        <v>113</v>
      </c>
      <c r="N35" s="127">
        <f t="shared" si="4"/>
        <v>0</v>
      </c>
      <c r="V35" s="141"/>
      <c r="W35" s="141"/>
    </row>
    <row r="36" spans="1:23" x14ac:dyDescent="0.2">
      <c r="V36" s="141"/>
      <c r="W36" s="141"/>
    </row>
    <row r="37" spans="1:23" x14ac:dyDescent="0.2">
      <c r="V37" s="141"/>
      <c r="W37" s="141"/>
    </row>
    <row r="38" spans="1:23" x14ac:dyDescent="0.2">
      <c r="V38" s="141"/>
      <c r="W38" s="141"/>
    </row>
    <row r="39" spans="1:23" x14ac:dyDescent="0.2">
      <c r="V39" s="141"/>
      <c r="W39" s="141"/>
    </row>
    <row r="40" spans="1:23" x14ac:dyDescent="0.2">
      <c r="V40" s="141"/>
      <c r="W40" s="141"/>
    </row>
    <row r="41" spans="1:23" x14ac:dyDescent="0.2">
      <c r="V41" s="141"/>
      <c r="W41" s="141"/>
    </row>
    <row r="42" spans="1:23" x14ac:dyDescent="0.2">
      <c r="V42" s="141"/>
      <c r="W42" s="141"/>
    </row>
    <row r="43" spans="1:23" x14ac:dyDescent="0.2">
      <c r="U43" s="141"/>
      <c r="V43" s="141"/>
      <c r="W43" s="141"/>
    </row>
    <row r="49" spans="18:19" x14ac:dyDescent="0.2">
      <c r="R49" s="141"/>
      <c r="S49" s="141"/>
    </row>
    <row r="50" spans="18:19" x14ac:dyDescent="0.2">
      <c r="R50" s="141"/>
      <c r="S50" s="141"/>
    </row>
  </sheetData>
  <sortState xmlns:xlrd2="http://schemas.microsoft.com/office/spreadsheetml/2017/richdata2" ref="L4:N23">
    <sortCondition descending="1" ref="N3:N23"/>
  </sortState>
  <mergeCells count="4">
    <mergeCell ref="A2:B3"/>
    <mergeCell ref="E2:H2"/>
    <mergeCell ref="L2:N2"/>
    <mergeCell ref="V21:W22"/>
  </mergeCells>
  <conditionalFormatting sqref="E4:H21">
    <cfRule type="expression" dxfId="8" priority="3">
      <formula>$H4="No Signal"</formula>
    </cfRule>
    <cfRule type="expression" dxfId="7" priority="4">
      <formula>$H4="Not Significant"</formula>
    </cfRule>
    <cfRule type="expression" dxfId="6" priority="5">
      <formula>$H4="Low Signal"</formula>
    </cfRule>
    <cfRule type="expression" dxfId="5" priority="6">
      <formula>$H4="High Signal"</formula>
    </cfRule>
    <cfRule type="expression" dxfId="4" priority="7">
      <formula>$H4="In Range"</formula>
    </cfRule>
  </conditionalFormatting>
  <conditionalFormatting sqref="L4:N35">
    <cfRule type="expression" dxfId="3" priority="1" stopIfTrue="1">
      <formula>$N4&gt;0</formula>
    </cfRule>
    <cfRule type="expression" dxfId="2" priority="2">
      <formula>$N4=0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BCC07-8A69-4FFC-ACC4-739149E72DA0}">
  <dimension ref="A1:AT38"/>
  <sheetViews>
    <sheetView zoomScale="94" zoomScaleNormal="80" workbookViewId="0">
      <selection activeCell="AE29" sqref="AE29"/>
    </sheetView>
  </sheetViews>
  <sheetFormatPr baseColWidth="10" defaultColWidth="8.83203125" defaultRowHeight="15" x14ac:dyDescent="0.2"/>
  <cols>
    <col min="1" max="1" width="3.83203125" style="33" customWidth="1"/>
    <col min="3" max="3" width="4.83203125" customWidth="1"/>
    <col min="4" max="4" width="3.83203125" style="33" customWidth="1"/>
    <col min="6" max="6" width="4.83203125" customWidth="1"/>
    <col min="7" max="7" width="3.83203125" style="33" customWidth="1"/>
    <col min="9" max="9" width="4.83203125" customWidth="1"/>
    <col min="10" max="10" width="3.83203125" style="33" customWidth="1"/>
    <col min="12" max="12" width="4.83203125" customWidth="1"/>
    <col min="13" max="13" width="3.83203125" style="33" customWidth="1"/>
    <col min="15" max="15" width="4.83203125" customWidth="1"/>
    <col min="16" max="16" width="3.83203125" style="33" customWidth="1"/>
    <col min="18" max="18" width="4.83203125" customWidth="1"/>
    <col min="19" max="19" width="3.83203125" style="33" customWidth="1"/>
    <col min="21" max="21" width="4.83203125" customWidth="1"/>
    <col min="22" max="22" width="2.83203125" customWidth="1"/>
    <col min="23" max="23" width="3.83203125" style="33" customWidth="1"/>
    <col min="25" max="25" width="4.83203125" customWidth="1"/>
    <col min="26" max="26" width="2.83203125" customWidth="1"/>
    <col min="27" max="27" width="9.33203125" customWidth="1"/>
    <col min="29" max="30" width="9.6640625" bestFit="1" customWidth="1"/>
    <col min="31" max="33" width="9" bestFit="1" customWidth="1"/>
    <col min="34" max="34" width="9.6640625" bestFit="1" customWidth="1"/>
    <col min="35" max="46" width="9" bestFit="1" customWidth="1"/>
  </cols>
  <sheetData>
    <row r="1" spans="1:46" s="1" customFormat="1" ht="20" customHeight="1" thickBot="1" x14ac:dyDescent="0.25">
      <c r="A1" s="145" t="s">
        <v>19</v>
      </c>
      <c r="B1" s="146"/>
      <c r="C1" s="147"/>
      <c r="D1" s="145" t="s">
        <v>20</v>
      </c>
      <c r="E1" s="146"/>
      <c r="F1" s="147"/>
      <c r="G1" s="145" t="s">
        <v>21</v>
      </c>
      <c r="H1" s="146"/>
      <c r="I1" s="147"/>
      <c r="J1" s="145" t="s">
        <v>22</v>
      </c>
      <c r="K1" s="146"/>
      <c r="L1" s="147"/>
      <c r="M1" s="145" t="s">
        <v>23</v>
      </c>
      <c r="N1" s="146"/>
      <c r="O1" s="147"/>
      <c r="P1" s="145" t="s">
        <v>24</v>
      </c>
      <c r="Q1" s="146"/>
      <c r="R1" s="147"/>
      <c r="S1" s="145" t="s">
        <v>25</v>
      </c>
      <c r="T1" s="146"/>
      <c r="U1" s="147"/>
      <c r="W1" s="148" t="s">
        <v>69</v>
      </c>
      <c r="X1" s="149"/>
      <c r="Y1" s="150"/>
      <c r="AC1" s="10" t="s">
        <v>1</v>
      </c>
      <c r="AD1" s="10" t="s">
        <v>2</v>
      </c>
      <c r="AE1" s="10" t="s">
        <v>3</v>
      </c>
      <c r="AF1" s="10" t="s">
        <v>4</v>
      </c>
      <c r="AG1" s="10" t="s">
        <v>5</v>
      </c>
      <c r="AH1" s="10" t="s">
        <v>6</v>
      </c>
      <c r="AI1" s="10" t="s">
        <v>7</v>
      </c>
      <c r="AJ1" s="10" t="s">
        <v>8</v>
      </c>
      <c r="AK1" s="10" t="s">
        <v>9</v>
      </c>
      <c r="AL1" s="10" t="s">
        <v>10</v>
      </c>
      <c r="AM1" s="10" t="s">
        <v>11</v>
      </c>
      <c r="AN1" s="10" t="s">
        <v>12</v>
      </c>
      <c r="AO1" s="10" t="s">
        <v>13</v>
      </c>
      <c r="AP1" s="10" t="s">
        <v>14</v>
      </c>
      <c r="AQ1" s="10" t="s">
        <v>15</v>
      </c>
      <c r="AR1" s="10" t="s">
        <v>16</v>
      </c>
      <c r="AS1" s="10" t="s">
        <v>17</v>
      </c>
      <c r="AT1" s="10" t="s">
        <v>18</v>
      </c>
    </row>
    <row r="2" spans="1:46" ht="20" customHeight="1" x14ac:dyDescent="0.2">
      <c r="A2" s="141" t="s">
        <v>37</v>
      </c>
      <c r="B2" s="141"/>
      <c r="C2" s="135" t="s">
        <v>35</v>
      </c>
      <c r="D2" s="141" t="s">
        <v>37</v>
      </c>
      <c r="E2" s="141"/>
      <c r="F2" s="136" t="s">
        <v>35</v>
      </c>
      <c r="G2" s="141" t="s">
        <v>37</v>
      </c>
      <c r="H2" s="141"/>
      <c r="I2" s="136" t="s">
        <v>35</v>
      </c>
      <c r="J2" s="141" t="s">
        <v>37</v>
      </c>
      <c r="K2" s="141"/>
      <c r="L2" s="136" t="s">
        <v>35</v>
      </c>
      <c r="M2" s="141" t="s">
        <v>37</v>
      </c>
      <c r="N2" s="141"/>
      <c r="O2" s="136" t="s">
        <v>35</v>
      </c>
      <c r="P2" s="141" t="s">
        <v>37</v>
      </c>
      <c r="Q2" s="141"/>
      <c r="R2" s="136" t="s">
        <v>35</v>
      </c>
      <c r="S2" s="141" t="s">
        <v>37</v>
      </c>
      <c r="T2" s="141"/>
      <c r="U2" s="136" t="s">
        <v>35</v>
      </c>
      <c r="W2" s="44" t="s">
        <v>1</v>
      </c>
      <c r="X2" s="8">
        <v>15</v>
      </c>
      <c r="Y2" s="3" t="s">
        <v>35</v>
      </c>
      <c r="AA2" s="142" t="s">
        <v>70</v>
      </c>
      <c r="AB2" s="17" t="s">
        <v>19</v>
      </c>
      <c r="AC2" s="11">
        <v>125.146</v>
      </c>
      <c r="AD2" s="11">
        <v>206.2861</v>
      </c>
      <c r="AE2" s="12">
        <v>0</v>
      </c>
      <c r="AF2" s="11">
        <v>6.4965000000000002</v>
      </c>
      <c r="AG2" s="12">
        <v>0</v>
      </c>
      <c r="AH2" s="11">
        <v>34.79</v>
      </c>
      <c r="AI2" s="12">
        <v>0</v>
      </c>
      <c r="AJ2" s="12">
        <v>0.46100000000000002</v>
      </c>
      <c r="AK2" s="11">
        <v>20.54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2">
        <v>0</v>
      </c>
      <c r="AT2" s="12">
        <v>0</v>
      </c>
    </row>
    <row r="3" spans="1:46" ht="20" customHeight="1" x14ac:dyDescent="0.2">
      <c r="A3" s="141" t="s">
        <v>38</v>
      </c>
      <c r="B3" s="141"/>
      <c r="C3" s="137" t="s">
        <v>35</v>
      </c>
      <c r="D3" s="141" t="s">
        <v>38</v>
      </c>
      <c r="E3" s="141"/>
      <c r="F3" s="138" t="s">
        <v>35</v>
      </c>
      <c r="G3" s="141" t="s">
        <v>38</v>
      </c>
      <c r="H3" s="141"/>
      <c r="I3" s="138" t="s">
        <v>35</v>
      </c>
      <c r="J3" s="141" t="s">
        <v>38</v>
      </c>
      <c r="K3" s="141"/>
      <c r="L3" s="138" t="s">
        <v>35</v>
      </c>
      <c r="M3" s="141" t="s">
        <v>38</v>
      </c>
      <c r="N3" s="141"/>
      <c r="O3" s="138" t="s">
        <v>35</v>
      </c>
      <c r="P3" s="141" t="s">
        <v>38</v>
      </c>
      <c r="Q3" s="141"/>
      <c r="R3" s="138" t="s">
        <v>35</v>
      </c>
      <c r="S3" s="141" t="s">
        <v>38</v>
      </c>
      <c r="T3" s="141"/>
      <c r="U3" s="138" t="s">
        <v>35</v>
      </c>
      <c r="W3" s="45" t="s">
        <v>2</v>
      </c>
      <c r="X3" s="9">
        <v>15</v>
      </c>
      <c r="Y3" s="4" t="s">
        <v>35</v>
      </c>
      <c r="AA3" s="143"/>
      <c r="AB3" s="18" t="s">
        <v>20</v>
      </c>
      <c r="AC3" s="13">
        <v>225.86600000000001</v>
      </c>
      <c r="AD3" s="13">
        <v>307.00590699999998</v>
      </c>
      <c r="AE3" s="14">
        <v>10.07198</v>
      </c>
      <c r="AF3" s="13">
        <v>16.568480000000001</v>
      </c>
      <c r="AG3" s="13">
        <v>10.07198</v>
      </c>
      <c r="AH3" s="13">
        <v>135.50980000000001</v>
      </c>
      <c r="AI3" s="14">
        <v>10.071980699999999</v>
      </c>
      <c r="AJ3" s="13">
        <v>10.53298</v>
      </c>
      <c r="AK3" s="13">
        <v>30.611979999999999</v>
      </c>
      <c r="AL3" s="13">
        <v>10.07198</v>
      </c>
      <c r="AM3" s="13">
        <v>10.07198</v>
      </c>
      <c r="AN3" s="13">
        <v>10.07198</v>
      </c>
      <c r="AO3" s="13">
        <v>10.07198</v>
      </c>
      <c r="AP3" s="13">
        <v>10.07198</v>
      </c>
      <c r="AQ3" s="13">
        <v>10.07198</v>
      </c>
      <c r="AR3" s="13">
        <v>10.07198</v>
      </c>
      <c r="AS3" s="13">
        <v>10.07198</v>
      </c>
      <c r="AT3" s="14">
        <v>10.071980699999999</v>
      </c>
    </row>
    <row r="4" spans="1:46" ht="20" customHeight="1" x14ac:dyDescent="0.2">
      <c r="A4" s="141" t="s">
        <v>1</v>
      </c>
      <c r="B4" s="141"/>
      <c r="C4" s="137" t="s">
        <v>35</v>
      </c>
      <c r="D4" s="141" t="s">
        <v>1</v>
      </c>
      <c r="E4" s="141"/>
      <c r="F4" s="138" t="s">
        <v>35</v>
      </c>
      <c r="G4" s="141" t="s">
        <v>1</v>
      </c>
      <c r="H4" s="141"/>
      <c r="I4" s="138" t="s">
        <v>35</v>
      </c>
      <c r="J4" s="141" t="s">
        <v>1</v>
      </c>
      <c r="K4" s="141"/>
      <c r="L4" s="138" t="s">
        <v>35</v>
      </c>
      <c r="M4" s="141" t="s">
        <v>1</v>
      </c>
      <c r="N4" s="141"/>
      <c r="O4" s="138" t="s">
        <v>35</v>
      </c>
      <c r="P4" s="141" t="s">
        <v>1</v>
      </c>
      <c r="Q4" s="141"/>
      <c r="R4" s="138" t="s">
        <v>35</v>
      </c>
      <c r="S4" s="141" t="s">
        <v>1</v>
      </c>
      <c r="T4" s="141"/>
      <c r="U4" s="138" t="s">
        <v>35</v>
      </c>
      <c r="W4" s="45" t="s">
        <v>3</v>
      </c>
      <c r="X4" s="9">
        <v>10</v>
      </c>
      <c r="Y4" s="4" t="s">
        <v>35</v>
      </c>
      <c r="AA4" s="143"/>
      <c r="AB4" s="18" t="s">
        <v>21</v>
      </c>
      <c r="AC4" s="13">
        <v>308.77699999999999</v>
      </c>
      <c r="AD4" s="13">
        <v>389.91666500000002</v>
      </c>
      <c r="AE4" s="13">
        <v>18.363060000000001</v>
      </c>
      <c r="AF4" s="13">
        <v>24.859559999999998</v>
      </c>
      <c r="AG4" s="13">
        <v>18.363060000000001</v>
      </c>
      <c r="AH4" s="13">
        <v>218.42060000000001</v>
      </c>
      <c r="AI4" s="13">
        <v>18.363056499999999</v>
      </c>
      <c r="AJ4" s="13">
        <v>18.824059999999999</v>
      </c>
      <c r="AK4" s="13">
        <v>38.903060000000004</v>
      </c>
      <c r="AL4" s="13">
        <v>18.363060000000001</v>
      </c>
      <c r="AM4" s="13">
        <v>18.363060000000001</v>
      </c>
      <c r="AN4" s="13">
        <v>18.363060000000001</v>
      </c>
      <c r="AO4" s="13">
        <v>18.363060000000001</v>
      </c>
      <c r="AP4" s="13">
        <v>18.363060000000001</v>
      </c>
      <c r="AQ4" s="13">
        <v>18.363060000000001</v>
      </c>
      <c r="AR4" s="13">
        <v>18.363060000000001</v>
      </c>
      <c r="AS4" s="13">
        <v>18.363060000000001</v>
      </c>
      <c r="AT4" s="13">
        <v>18.363056499999999</v>
      </c>
    </row>
    <row r="5" spans="1:46" ht="20" customHeight="1" x14ac:dyDescent="0.2">
      <c r="A5" s="141" t="s">
        <v>2</v>
      </c>
      <c r="B5" s="141"/>
      <c r="C5" s="137" t="s">
        <v>35</v>
      </c>
      <c r="D5" s="141" t="s">
        <v>2</v>
      </c>
      <c r="E5" s="141"/>
      <c r="F5" s="138" t="s">
        <v>35</v>
      </c>
      <c r="G5" s="141" t="s">
        <v>2</v>
      </c>
      <c r="H5" s="141"/>
      <c r="I5" s="138" t="s">
        <v>35</v>
      </c>
      <c r="J5" s="141" t="s">
        <v>2</v>
      </c>
      <c r="K5" s="141"/>
      <c r="L5" s="138" t="s">
        <v>35</v>
      </c>
      <c r="M5" s="141" t="s">
        <v>2</v>
      </c>
      <c r="N5" s="141"/>
      <c r="O5" s="138" t="s">
        <v>35</v>
      </c>
      <c r="P5" s="141" t="s">
        <v>2</v>
      </c>
      <c r="Q5" s="141"/>
      <c r="R5" s="138" t="s">
        <v>35</v>
      </c>
      <c r="S5" s="141" t="s">
        <v>2</v>
      </c>
      <c r="T5" s="141"/>
      <c r="U5" s="138" t="s">
        <v>35</v>
      </c>
      <c r="W5" s="45" t="s">
        <v>4</v>
      </c>
      <c r="X5" s="9">
        <v>8</v>
      </c>
      <c r="Y5" s="4" t="s">
        <v>35</v>
      </c>
      <c r="AA5" s="143"/>
      <c r="AB5" s="18" t="s">
        <v>22</v>
      </c>
      <c r="AC5" s="13">
        <v>491.25</v>
      </c>
      <c r="AD5" s="13">
        <v>572.38969999999995</v>
      </c>
      <c r="AE5" s="13">
        <v>36.61036</v>
      </c>
      <c r="AF5" s="13">
        <v>43.106859999999998</v>
      </c>
      <c r="AG5" s="13">
        <v>36.61036</v>
      </c>
      <c r="AH5" s="13">
        <v>400.89359999999999</v>
      </c>
      <c r="AI5" s="13">
        <v>36.61036</v>
      </c>
      <c r="AJ5" s="13">
        <v>37.071359999999999</v>
      </c>
      <c r="AK5" s="13">
        <v>57.150359999999999</v>
      </c>
      <c r="AL5" s="13">
        <v>36.61036</v>
      </c>
      <c r="AM5" s="13">
        <v>36.61036</v>
      </c>
      <c r="AN5" s="13">
        <v>36.61036</v>
      </c>
      <c r="AO5" s="13">
        <v>36.61036</v>
      </c>
      <c r="AP5" s="13">
        <v>36.61036</v>
      </c>
      <c r="AQ5" s="13">
        <v>36.61036</v>
      </c>
      <c r="AR5" s="13">
        <v>36.61036</v>
      </c>
      <c r="AS5" s="13">
        <v>36.61036</v>
      </c>
      <c r="AT5" s="13">
        <v>36.61036</v>
      </c>
    </row>
    <row r="6" spans="1:46" ht="20" customHeight="1" x14ac:dyDescent="0.2">
      <c r="A6" s="141" t="s">
        <v>4</v>
      </c>
      <c r="B6" s="141"/>
      <c r="C6" s="137" t="s">
        <v>35</v>
      </c>
      <c r="D6" s="141" t="s">
        <v>4</v>
      </c>
      <c r="E6" s="141"/>
      <c r="F6" s="138" t="s">
        <v>35</v>
      </c>
      <c r="G6" s="141" t="s">
        <v>4</v>
      </c>
      <c r="H6" s="141"/>
      <c r="I6" s="138" t="s">
        <v>35</v>
      </c>
      <c r="J6" s="141" t="s">
        <v>4</v>
      </c>
      <c r="K6" s="141"/>
      <c r="L6" s="138" t="s">
        <v>35</v>
      </c>
      <c r="M6" s="141" t="s">
        <v>4</v>
      </c>
      <c r="N6" s="141"/>
      <c r="O6" s="138" t="s">
        <v>35</v>
      </c>
      <c r="P6" s="141" t="s">
        <v>4</v>
      </c>
      <c r="Q6" s="141"/>
      <c r="R6" s="138" t="s">
        <v>35</v>
      </c>
      <c r="S6" s="141" t="s">
        <v>4</v>
      </c>
      <c r="T6" s="141"/>
      <c r="U6" s="138" t="s">
        <v>35</v>
      </c>
      <c r="W6" s="45" t="s">
        <v>5</v>
      </c>
      <c r="X6" s="9">
        <v>6</v>
      </c>
      <c r="Y6" s="4" t="s">
        <v>35</v>
      </c>
      <c r="AA6" s="143"/>
      <c r="AB6" s="18" t="s">
        <v>23</v>
      </c>
      <c r="AC6" s="13">
        <v>860.15899999999999</v>
      </c>
      <c r="AD6" s="13">
        <v>941.29921100000001</v>
      </c>
      <c r="AE6" s="13">
        <v>73.501310000000004</v>
      </c>
      <c r="AF6" s="13">
        <v>79.997810000000001</v>
      </c>
      <c r="AG6" s="13">
        <v>73.501310000000004</v>
      </c>
      <c r="AH6" s="13">
        <v>769.80309999999997</v>
      </c>
      <c r="AI6" s="13">
        <v>73.501311099999995</v>
      </c>
      <c r="AJ6" s="13">
        <v>73.962310000000002</v>
      </c>
      <c r="AK6" s="13">
        <v>94.041309999999996</v>
      </c>
      <c r="AL6" s="13">
        <v>73.501310000000004</v>
      </c>
      <c r="AM6" s="13">
        <v>73.501310000000004</v>
      </c>
      <c r="AN6" s="13">
        <v>73.501310000000004</v>
      </c>
      <c r="AO6" s="13">
        <v>73.501310000000004</v>
      </c>
      <c r="AP6" s="13">
        <v>73.501310000000004</v>
      </c>
      <c r="AQ6" s="13">
        <v>73.501310000000004</v>
      </c>
      <c r="AR6" s="13">
        <v>73.501310000000004</v>
      </c>
      <c r="AS6" s="13">
        <v>73.501310000000004</v>
      </c>
      <c r="AT6" s="13">
        <v>73.501311099999995</v>
      </c>
    </row>
    <row r="7" spans="1:46" ht="20" customHeight="1" x14ac:dyDescent="0.2">
      <c r="A7" s="141" t="s">
        <v>6</v>
      </c>
      <c r="B7" s="141"/>
      <c r="C7" s="137" t="s">
        <v>35</v>
      </c>
      <c r="D7" s="141" t="s">
        <v>6</v>
      </c>
      <c r="E7" s="141"/>
      <c r="F7" s="138" t="s">
        <v>35</v>
      </c>
      <c r="G7" s="141" t="s">
        <v>6</v>
      </c>
      <c r="H7" s="141"/>
      <c r="I7" s="138" t="s">
        <v>35</v>
      </c>
      <c r="J7" s="141" t="s">
        <v>6</v>
      </c>
      <c r="K7" s="141"/>
      <c r="L7" s="138" t="s">
        <v>35</v>
      </c>
      <c r="M7" s="141" t="s">
        <v>6</v>
      </c>
      <c r="N7" s="141"/>
      <c r="O7" s="138" t="s">
        <v>35</v>
      </c>
      <c r="P7" s="141" t="s">
        <v>6</v>
      </c>
      <c r="Q7" s="141"/>
      <c r="R7" s="138" t="s">
        <v>35</v>
      </c>
      <c r="S7" s="141" t="s">
        <v>6</v>
      </c>
      <c r="T7" s="141"/>
      <c r="U7" s="138" t="s">
        <v>35</v>
      </c>
      <c r="W7" s="45" t="s">
        <v>6</v>
      </c>
      <c r="X7" s="9">
        <v>5</v>
      </c>
      <c r="Y7" s="4" t="s">
        <v>35</v>
      </c>
      <c r="AA7" s="143"/>
      <c r="AB7" s="18" t="s">
        <v>24</v>
      </c>
      <c r="AC7" s="13">
        <v>1214.0360000000001</v>
      </c>
      <c r="AD7" s="13">
        <v>1295.17641</v>
      </c>
      <c r="AE7" s="13">
        <v>108.889</v>
      </c>
      <c r="AF7" s="13">
        <v>115.38549999999999</v>
      </c>
      <c r="AG7" s="13">
        <v>108.889</v>
      </c>
      <c r="AH7" s="13">
        <v>1123.68</v>
      </c>
      <c r="AI7" s="13">
        <v>108.889031</v>
      </c>
      <c r="AJ7" s="13">
        <v>109.35</v>
      </c>
      <c r="AK7" s="13">
        <v>129.429</v>
      </c>
      <c r="AL7" s="13">
        <v>108.889</v>
      </c>
      <c r="AM7" s="13">
        <v>108.889</v>
      </c>
      <c r="AN7" s="13">
        <v>108.889</v>
      </c>
      <c r="AO7" s="13">
        <v>108.889</v>
      </c>
      <c r="AP7" s="13">
        <v>108.889</v>
      </c>
      <c r="AQ7" s="13">
        <v>108.889</v>
      </c>
      <c r="AR7" s="13">
        <v>108.889</v>
      </c>
      <c r="AS7" s="13">
        <v>108.889</v>
      </c>
      <c r="AT7" s="13">
        <v>108.889031</v>
      </c>
    </row>
    <row r="8" spans="1:46" ht="20" customHeight="1" thickBot="1" x14ac:dyDescent="0.25">
      <c r="A8" s="141" t="s">
        <v>8</v>
      </c>
      <c r="B8" s="141"/>
      <c r="C8" s="137" t="s">
        <v>35</v>
      </c>
      <c r="D8" s="141" t="s">
        <v>8</v>
      </c>
      <c r="E8" s="141"/>
      <c r="F8" s="138" t="s">
        <v>35</v>
      </c>
      <c r="G8" s="141" t="s">
        <v>8</v>
      </c>
      <c r="H8" s="141"/>
      <c r="I8" s="138" t="s">
        <v>35</v>
      </c>
      <c r="J8" s="141" t="s">
        <v>8</v>
      </c>
      <c r="K8" s="141"/>
      <c r="L8" s="138" t="s">
        <v>35</v>
      </c>
      <c r="M8" s="141" t="s">
        <v>8</v>
      </c>
      <c r="N8" s="141"/>
      <c r="O8" s="138" t="s">
        <v>35</v>
      </c>
      <c r="P8" s="141" t="s">
        <v>8</v>
      </c>
      <c r="Q8" s="141"/>
      <c r="R8" s="138" t="s">
        <v>35</v>
      </c>
      <c r="S8" s="141" t="s">
        <v>8</v>
      </c>
      <c r="T8" s="141"/>
      <c r="U8" s="138" t="s">
        <v>35</v>
      </c>
      <c r="W8" s="45" t="s">
        <v>7</v>
      </c>
      <c r="X8" s="9">
        <v>5</v>
      </c>
      <c r="Y8" s="4" t="s">
        <v>35</v>
      </c>
      <c r="AA8" s="144"/>
      <c r="AB8" s="19" t="s">
        <v>25</v>
      </c>
      <c r="AC8" s="15">
        <v>1578.1990000000001</v>
      </c>
      <c r="AD8" s="15">
        <v>1659.33943</v>
      </c>
      <c r="AE8" s="15">
        <v>145.30529999999999</v>
      </c>
      <c r="AF8" s="16">
        <v>151.80179999999999</v>
      </c>
      <c r="AG8" s="16">
        <v>145.30529999999999</v>
      </c>
      <c r="AH8" s="16">
        <v>1487.8430000000001</v>
      </c>
      <c r="AI8" s="16">
        <v>145.30533299999999</v>
      </c>
      <c r="AJ8" s="16">
        <v>145.7663</v>
      </c>
      <c r="AK8" s="16">
        <v>165.84530000000001</v>
      </c>
      <c r="AL8" s="16">
        <v>145.30529999999999</v>
      </c>
      <c r="AM8" s="16">
        <v>145.30529999999999</v>
      </c>
      <c r="AN8" s="16">
        <v>145.30529999999999</v>
      </c>
      <c r="AO8" s="16">
        <v>145.30529999999999</v>
      </c>
      <c r="AP8" s="15">
        <v>145.30529999999999</v>
      </c>
      <c r="AQ8" s="16">
        <v>145.30529999999999</v>
      </c>
      <c r="AR8" s="16">
        <v>145.30529999999999</v>
      </c>
      <c r="AS8" s="15">
        <v>145.30529999999999</v>
      </c>
      <c r="AT8" s="15">
        <v>145.30533299999999</v>
      </c>
    </row>
    <row r="9" spans="1:46" ht="20" customHeight="1" x14ac:dyDescent="0.2">
      <c r="A9" s="141" t="s">
        <v>9</v>
      </c>
      <c r="B9" s="141"/>
      <c r="C9" s="137" t="s">
        <v>35</v>
      </c>
      <c r="D9" s="141" t="s">
        <v>9</v>
      </c>
      <c r="E9" s="141"/>
      <c r="F9" s="138" t="s">
        <v>35</v>
      </c>
      <c r="G9" s="141" t="s">
        <v>9</v>
      </c>
      <c r="H9" s="141"/>
      <c r="I9" s="138" t="s">
        <v>35</v>
      </c>
      <c r="J9" s="141" t="s">
        <v>9</v>
      </c>
      <c r="K9" s="141"/>
      <c r="L9" s="138" t="s">
        <v>35</v>
      </c>
      <c r="M9" s="141" t="s">
        <v>9</v>
      </c>
      <c r="N9" s="141"/>
      <c r="O9" s="138" t="s">
        <v>35</v>
      </c>
      <c r="P9" s="141" t="s">
        <v>9</v>
      </c>
      <c r="Q9" s="141"/>
      <c r="R9" s="138" t="s">
        <v>35</v>
      </c>
      <c r="S9" s="141" t="s">
        <v>9</v>
      </c>
      <c r="T9" s="141"/>
      <c r="U9" s="138" t="s">
        <v>35</v>
      </c>
      <c r="W9" s="45" t="s">
        <v>8</v>
      </c>
      <c r="X9" s="9">
        <v>4</v>
      </c>
      <c r="Y9" s="4" t="s">
        <v>35</v>
      </c>
    </row>
    <row r="10" spans="1:46" ht="20" customHeight="1" x14ac:dyDescent="0.2">
      <c r="A10" s="141" t="s">
        <v>40</v>
      </c>
      <c r="B10" s="141"/>
      <c r="C10" s="137" t="s">
        <v>35</v>
      </c>
      <c r="D10" s="141" t="s">
        <v>40</v>
      </c>
      <c r="E10" s="141"/>
      <c r="F10" s="138" t="s">
        <v>35</v>
      </c>
      <c r="G10" s="141" t="s">
        <v>40</v>
      </c>
      <c r="H10" s="141"/>
      <c r="I10" s="138" t="s">
        <v>35</v>
      </c>
      <c r="J10" s="141" t="s">
        <v>116</v>
      </c>
      <c r="K10" s="141"/>
      <c r="L10" s="138" t="s">
        <v>35</v>
      </c>
      <c r="M10" s="141" t="s">
        <v>40</v>
      </c>
      <c r="N10" s="141"/>
      <c r="O10" s="138" t="s">
        <v>35</v>
      </c>
      <c r="P10" s="141" t="s">
        <v>40</v>
      </c>
      <c r="Q10" s="141"/>
      <c r="R10" s="138" t="s">
        <v>35</v>
      </c>
      <c r="S10" s="141" t="s">
        <v>40</v>
      </c>
      <c r="T10" s="141"/>
      <c r="U10" s="138" t="s">
        <v>35</v>
      </c>
      <c r="W10" s="45" t="s">
        <v>9</v>
      </c>
      <c r="X10" s="9">
        <v>4</v>
      </c>
      <c r="Y10" s="4" t="s">
        <v>35</v>
      </c>
    </row>
    <row r="11" spans="1:46" ht="20" customHeight="1" x14ac:dyDescent="0.2">
      <c r="A11" s="141" t="s">
        <v>116</v>
      </c>
      <c r="B11" s="141"/>
      <c r="C11" s="137" t="s">
        <v>35</v>
      </c>
      <c r="D11" s="141" t="s">
        <v>116</v>
      </c>
      <c r="E11" s="141"/>
      <c r="F11" s="138" t="s">
        <v>35</v>
      </c>
      <c r="G11" s="141" t="s">
        <v>116</v>
      </c>
      <c r="H11" s="141"/>
      <c r="I11" s="138" t="s">
        <v>35</v>
      </c>
      <c r="J11" s="141" t="s">
        <v>34</v>
      </c>
      <c r="K11" s="141"/>
      <c r="L11" s="138" t="s">
        <v>35</v>
      </c>
      <c r="M11" s="141" t="s">
        <v>116</v>
      </c>
      <c r="N11" s="141"/>
      <c r="O11" s="138" t="s">
        <v>35</v>
      </c>
      <c r="P11" s="141" t="s">
        <v>116</v>
      </c>
      <c r="Q11" s="141"/>
      <c r="R11" s="138" t="s">
        <v>35</v>
      </c>
      <c r="S11" s="141" t="s">
        <v>116</v>
      </c>
      <c r="T11" s="141"/>
      <c r="U11" s="138" t="s">
        <v>35</v>
      </c>
      <c r="W11" s="45" t="s">
        <v>10</v>
      </c>
      <c r="X11" s="9">
        <v>5</v>
      </c>
      <c r="Y11" s="4" t="s">
        <v>35</v>
      </c>
    </row>
    <row r="12" spans="1:46" ht="20" customHeight="1" x14ac:dyDescent="0.2">
      <c r="A12" s="141" t="s">
        <v>34</v>
      </c>
      <c r="B12" s="141"/>
      <c r="C12" s="137" t="s">
        <v>35</v>
      </c>
      <c r="D12" s="141" t="s">
        <v>34</v>
      </c>
      <c r="E12" s="141"/>
      <c r="F12" s="138" t="s">
        <v>35</v>
      </c>
      <c r="G12" s="141" t="s">
        <v>34</v>
      </c>
      <c r="H12" s="141"/>
      <c r="I12" s="138" t="s">
        <v>35</v>
      </c>
      <c r="J12" s="141" t="s">
        <v>36</v>
      </c>
      <c r="K12" s="141"/>
      <c r="L12" s="138" t="s">
        <v>35</v>
      </c>
      <c r="M12" s="141" t="s">
        <v>34</v>
      </c>
      <c r="N12" s="141"/>
      <c r="O12" s="138" t="s">
        <v>35</v>
      </c>
      <c r="P12" s="141" t="s">
        <v>34</v>
      </c>
      <c r="Q12" s="141"/>
      <c r="R12" s="138" t="s">
        <v>35</v>
      </c>
      <c r="S12" s="141" t="s">
        <v>34</v>
      </c>
      <c r="T12" s="141"/>
      <c r="U12" s="138" t="s">
        <v>35</v>
      </c>
      <c r="W12" s="45" t="s">
        <v>11</v>
      </c>
      <c r="X12" s="9">
        <v>5</v>
      </c>
      <c r="Y12" s="4" t="s">
        <v>35</v>
      </c>
    </row>
    <row r="13" spans="1:46" ht="20" customHeight="1" x14ac:dyDescent="0.2">
      <c r="A13" s="141" t="s">
        <v>36</v>
      </c>
      <c r="B13" s="141"/>
      <c r="C13" s="137" t="s">
        <v>35</v>
      </c>
      <c r="D13" s="141" t="s">
        <v>36</v>
      </c>
      <c r="E13" s="141"/>
      <c r="F13" s="138" t="s">
        <v>35</v>
      </c>
      <c r="G13" s="141" t="s">
        <v>36</v>
      </c>
      <c r="H13" s="141"/>
      <c r="I13" s="138" t="s">
        <v>35</v>
      </c>
      <c r="J13" s="141" t="s">
        <v>39</v>
      </c>
      <c r="K13" s="141"/>
      <c r="L13" s="138" t="s">
        <v>35</v>
      </c>
      <c r="M13" s="141" t="s">
        <v>36</v>
      </c>
      <c r="N13" s="141"/>
      <c r="O13" s="138" t="s">
        <v>35</v>
      </c>
      <c r="P13" s="141" t="s">
        <v>36</v>
      </c>
      <c r="Q13" s="141"/>
      <c r="R13" s="138" t="s">
        <v>35</v>
      </c>
      <c r="S13" s="141" t="s">
        <v>36</v>
      </c>
      <c r="T13" s="141"/>
      <c r="U13" s="138" t="s">
        <v>35</v>
      </c>
      <c r="W13" s="45" t="s">
        <v>12</v>
      </c>
      <c r="X13" s="9">
        <v>4</v>
      </c>
      <c r="Y13" s="4" t="s">
        <v>35</v>
      </c>
    </row>
    <row r="14" spans="1:46" ht="20" customHeight="1" x14ac:dyDescent="0.2">
      <c r="A14" s="141"/>
      <c r="B14" s="141"/>
      <c r="C14" s="137"/>
      <c r="D14" s="141" t="s">
        <v>39</v>
      </c>
      <c r="E14" s="141"/>
      <c r="F14" s="138" t="s">
        <v>35</v>
      </c>
      <c r="G14" s="141" t="s">
        <v>39</v>
      </c>
      <c r="H14" s="141"/>
      <c r="I14" s="138" t="s">
        <v>35</v>
      </c>
      <c r="J14" s="141" t="s">
        <v>3</v>
      </c>
      <c r="K14" s="141"/>
      <c r="L14" s="138" t="s">
        <v>35</v>
      </c>
      <c r="M14" s="141" t="s">
        <v>39</v>
      </c>
      <c r="N14" s="141"/>
      <c r="O14" s="138" t="s">
        <v>35</v>
      </c>
      <c r="P14" s="141" t="s">
        <v>39</v>
      </c>
      <c r="Q14" s="141"/>
      <c r="R14" s="138" t="s">
        <v>35</v>
      </c>
      <c r="S14" s="141" t="s">
        <v>3</v>
      </c>
      <c r="T14" s="141"/>
      <c r="U14" s="138" t="s">
        <v>35</v>
      </c>
      <c r="W14" s="45" t="s">
        <v>13</v>
      </c>
      <c r="X14" s="9">
        <v>3</v>
      </c>
      <c r="Y14" s="4" t="s">
        <v>35</v>
      </c>
    </row>
    <row r="15" spans="1:46" ht="20" customHeight="1" x14ac:dyDescent="0.2">
      <c r="C15" s="137"/>
      <c r="D15" s="141" t="s">
        <v>3</v>
      </c>
      <c r="E15" s="141"/>
      <c r="F15" s="138" t="s">
        <v>35</v>
      </c>
      <c r="G15" s="141" t="s">
        <v>3</v>
      </c>
      <c r="H15" s="141"/>
      <c r="I15" s="138" t="s">
        <v>35</v>
      </c>
      <c r="J15" s="141" t="s">
        <v>5</v>
      </c>
      <c r="K15" s="141"/>
      <c r="L15" s="138" t="s">
        <v>35</v>
      </c>
      <c r="M15" s="141" t="s">
        <v>3</v>
      </c>
      <c r="N15" s="141"/>
      <c r="O15" s="138" t="s">
        <v>35</v>
      </c>
      <c r="P15" s="141" t="s">
        <v>3</v>
      </c>
      <c r="Q15" s="141"/>
      <c r="R15" s="138" t="s">
        <v>35</v>
      </c>
      <c r="S15" s="141" t="s">
        <v>5</v>
      </c>
      <c r="T15" s="141"/>
      <c r="U15" s="138" t="s">
        <v>35</v>
      </c>
      <c r="W15" s="45" t="s">
        <v>14</v>
      </c>
      <c r="X15" s="9">
        <v>3</v>
      </c>
      <c r="Y15" s="4" t="s">
        <v>35</v>
      </c>
    </row>
    <row r="16" spans="1:46" ht="20" customHeight="1" x14ac:dyDescent="0.2">
      <c r="C16" s="137"/>
      <c r="D16" s="141" t="s">
        <v>5</v>
      </c>
      <c r="E16" s="141"/>
      <c r="F16" s="138" t="s">
        <v>35</v>
      </c>
      <c r="G16" s="141" t="s">
        <v>5</v>
      </c>
      <c r="H16" s="141"/>
      <c r="I16" s="138" t="s">
        <v>35</v>
      </c>
      <c r="J16" s="141" t="s">
        <v>7</v>
      </c>
      <c r="K16" s="141"/>
      <c r="L16" s="138" t="s">
        <v>35</v>
      </c>
      <c r="M16" s="141" t="s">
        <v>5</v>
      </c>
      <c r="N16" s="141"/>
      <c r="O16" s="138" t="s">
        <v>35</v>
      </c>
      <c r="P16" s="141" t="s">
        <v>5</v>
      </c>
      <c r="Q16" s="141"/>
      <c r="R16" s="138" t="s">
        <v>35</v>
      </c>
      <c r="S16" s="141" t="s">
        <v>7</v>
      </c>
      <c r="T16" s="141"/>
      <c r="U16" s="138" t="s">
        <v>35</v>
      </c>
      <c r="W16" s="45" t="s">
        <v>15</v>
      </c>
      <c r="X16" s="9">
        <v>15</v>
      </c>
      <c r="Y16" s="4" t="s">
        <v>35</v>
      </c>
    </row>
    <row r="17" spans="3:25" ht="20" customHeight="1" x14ac:dyDescent="0.2">
      <c r="C17" s="137"/>
      <c r="D17" s="141" t="s">
        <v>7</v>
      </c>
      <c r="E17" s="141"/>
      <c r="F17" s="138" t="s">
        <v>35</v>
      </c>
      <c r="G17" s="141" t="s">
        <v>7</v>
      </c>
      <c r="H17" s="141"/>
      <c r="I17" s="138" t="s">
        <v>35</v>
      </c>
      <c r="J17" s="141" t="s">
        <v>10</v>
      </c>
      <c r="K17" s="141"/>
      <c r="L17" s="138" t="s">
        <v>35</v>
      </c>
      <c r="M17" s="141" t="s">
        <v>7</v>
      </c>
      <c r="N17" s="141"/>
      <c r="O17" s="138" t="s">
        <v>35</v>
      </c>
      <c r="P17" s="141" t="s">
        <v>7</v>
      </c>
      <c r="Q17" s="141"/>
      <c r="R17" s="138" t="s">
        <v>35</v>
      </c>
      <c r="S17" s="141" t="s">
        <v>10</v>
      </c>
      <c r="T17" s="141"/>
      <c r="U17" s="138" t="s">
        <v>35</v>
      </c>
      <c r="W17" s="45" t="s">
        <v>16</v>
      </c>
      <c r="X17" s="9">
        <v>10</v>
      </c>
      <c r="Y17" s="4" t="s">
        <v>35</v>
      </c>
    </row>
    <row r="18" spans="3:25" ht="20" customHeight="1" x14ac:dyDescent="0.2">
      <c r="C18" s="137"/>
      <c r="D18" s="141" t="s">
        <v>10</v>
      </c>
      <c r="E18" s="141"/>
      <c r="F18" s="138" t="s">
        <v>35</v>
      </c>
      <c r="G18" s="141" t="s">
        <v>10</v>
      </c>
      <c r="H18" s="141"/>
      <c r="I18" s="138" t="s">
        <v>35</v>
      </c>
      <c r="J18" s="141" t="s">
        <v>11</v>
      </c>
      <c r="K18" s="141"/>
      <c r="L18" s="138" t="s">
        <v>35</v>
      </c>
      <c r="M18" s="141" t="s">
        <v>10</v>
      </c>
      <c r="N18" s="141"/>
      <c r="O18" s="138" t="s">
        <v>35</v>
      </c>
      <c r="P18" s="141" t="s">
        <v>10</v>
      </c>
      <c r="Q18" s="141"/>
      <c r="R18" s="138" t="s">
        <v>35</v>
      </c>
      <c r="S18" s="141" t="s">
        <v>11</v>
      </c>
      <c r="T18" s="141"/>
      <c r="U18" s="138" t="s">
        <v>35</v>
      </c>
      <c r="W18" s="45" t="s">
        <v>17</v>
      </c>
      <c r="X18" s="9">
        <v>10</v>
      </c>
      <c r="Y18" s="4" t="s">
        <v>35</v>
      </c>
    </row>
    <row r="19" spans="3:25" ht="20" customHeight="1" x14ac:dyDescent="0.2">
      <c r="C19" s="137"/>
      <c r="D19" s="141" t="s">
        <v>11</v>
      </c>
      <c r="E19" s="141"/>
      <c r="F19" s="138" t="s">
        <v>35</v>
      </c>
      <c r="G19" s="141" t="s">
        <v>11</v>
      </c>
      <c r="H19" s="141"/>
      <c r="I19" s="138" t="s">
        <v>35</v>
      </c>
      <c r="J19" s="141" t="s">
        <v>41</v>
      </c>
      <c r="K19" s="141"/>
      <c r="L19" s="138" t="s">
        <v>35</v>
      </c>
      <c r="M19" s="141" t="s">
        <v>11</v>
      </c>
      <c r="N19" s="141"/>
      <c r="O19" s="138" t="s">
        <v>35</v>
      </c>
      <c r="P19" s="141" t="s">
        <v>11</v>
      </c>
      <c r="Q19" s="141"/>
      <c r="R19" s="138" t="s">
        <v>35</v>
      </c>
      <c r="S19" s="141" t="s">
        <v>41</v>
      </c>
      <c r="T19" s="141"/>
      <c r="U19" s="138" t="s">
        <v>35</v>
      </c>
      <c r="W19" s="45" t="s">
        <v>18</v>
      </c>
      <c r="X19" s="9">
        <v>10</v>
      </c>
      <c r="Y19" s="4" t="s">
        <v>35</v>
      </c>
    </row>
    <row r="20" spans="3:25" ht="20" customHeight="1" x14ac:dyDescent="0.2">
      <c r="C20" s="137"/>
      <c r="D20" s="141" t="s">
        <v>41</v>
      </c>
      <c r="E20" s="141"/>
      <c r="F20" s="138" t="s">
        <v>35</v>
      </c>
      <c r="G20" s="141" t="s">
        <v>41</v>
      </c>
      <c r="H20" s="141"/>
      <c r="I20" s="138" t="s">
        <v>35</v>
      </c>
      <c r="J20" s="141" t="s">
        <v>12</v>
      </c>
      <c r="K20" s="141"/>
      <c r="L20" s="138" t="s">
        <v>35</v>
      </c>
      <c r="M20" s="141" t="s">
        <v>41</v>
      </c>
      <c r="N20" s="141"/>
      <c r="O20" s="138" t="s">
        <v>35</v>
      </c>
      <c r="P20" s="141" t="s">
        <v>41</v>
      </c>
      <c r="Q20" s="141"/>
      <c r="R20" s="138" t="s">
        <v>35</v>
      </c>
      <c r="S20" s="141" t="s">
        <v>12</v>
      </c>
      <c r="T20" s="141"/>
      <c r="U20" s="138" t="s">
        <v>35</v>
      </c>
      <c r="W20" s="45"/>
      <c r="Y20" s="4"/>
    </row>
    <row r="21" spans="3:25" ht="20" customHeight="1" x14ac:dyDescent="0.2">
      <c r="C21" s="137"/>
      <c r="D21" s="141" t="s">
        <v>12</v>
      </c>
      <c r="E21" s="141"/>
      <c r="F21" s="138" t="s">
        <v>35</v>
      </c>
      <c r="G21" s="141" t="s">
        <v>12</v>
      </c>
      <c r="H21" s="141"/>
      <c r="I21" s="138" t="s">
        <v>35</v>
      </c>
      <c r="J21" s="141" t="s">
        <v>13</v>
      </c>
      <c r="K21" s="141"/>
      <c r="L21" s="138" t="s">
        <v>35</v>
      </c>
      <c r="M21" s="141" t="s">
        <v>12</v>
      </c>
      <c r="N21" s="141"/>
      <c r="O21" s="138" t="s">
        <v>35</v>
      </c>
      <c r="P21" s="141" t="s">
        <v>12</v>
      </c>
      <c r="Q21" s="141"/>
      <c r="R21" s="138" t="s">
        <v>35</v>
      </c>
      <c r="S21" s="141" t="s">
        <v>13</v>
      </c>
      <c r="T21" s="141"/>
      <c r="U21" s="138" t="s">
        <v>35</v>
      </c>
      <c r="W21" s="45"/>
      <c r="Y21" s="4"/>
    </row>
    <row r="22" spans="3:25" ht="20" customHeight="1" x14ac:dyDescent="0.2">
      <c r="C22" s="137"/>
      <c r="D22" s="141" t="s">
        <v>13</v>
      </c>
      <c r="E22" s="141"/>
      <c r="F22" s="138" t="s">
        <v>35</v>
      </c>
      <c r="G22" s="141" t="s">
        <v>13</v>
      </c>
      <c r="H22" s="141"/>
      <c r="I22" s="138" t="s">
        <v>35</v>
      </c>
      <c r="J22" s="141" t="s">
        <v>45</v>
      </c>
      <c r="K22" s="141"/>
      <c r="L22" s="138" t="s">
        <v>35</v>
      </c>
      <c r="M22" s="141" t="s">
        <v>13</v>
      </c>
      <c r="N22" s="141"/>
      <c r="O22" s="138" t="s">
        <v>35</v>
      </c>
      <c r="P22" s="141" t="s">
        <v>13</v>
      </c>
      <c r="Q22" s="141"/>
      <c r="R22" s="138" t="s">
        <v>35</v>
      </c>
      <c r="S22" s="141" t="s">
        <v>45</v>
      </c>
      <c r="T22" s="141"/>
      <c r="U22" s="138" t="s">
        <v>35</v>
      </c>
      <c r="W22" s="45"/>
      <c r="Y22" s="4"/>
    </row>
    <row r="23" spans="3:25" ht="20" customHeight="1" x14ac:dyDescent="0.2">
      <c r="C23" s="137"/>
      <c r="D23" s="141" t="s">
        <v>45</v>
      </c>
      <c r="E23" s="141"/>
      <c r="F23" s="138" t="s">
        <v>35</v>
      </c>
      <c r="G23" s="141" t="s">
        <v>45</v>
      </c>
      <c r="H23" s="141"/>
      <c r="I23" s="138" t="s">
        <v>35</v>
      </c>
      <c r="J23" s="141" t="s">
        <v>115</v>
      </c>
      <c r="K23" s="141"/>
      <c r="L23" s="138" t="s">
        <v>35</v>
      </c>
      <c r="M23" s="141" t="s">
        <v>45</v>
      </c>
      <c r="N23" s="141"/>
      <c r="O23" s="138" t="s">
        <v>35</v>
      </c>
      <c r="P23" s="141" t="s">
        <v>45</v>
      </c>
      <c r="Q23" s="141"/>
      <c r="R23" s="138" t="s">
        <v>35</v>
      </c>
      <c r="S23" s="141" t="s">
        <v>16</v>
      </c>
      <c r="T23" s="141"/>
      <c r="U23" s="138" t="s">
        <v>35</v>
      </c>
      <c r="W23" s="45"/>
      <c r="Y23" s="4"/>
    </row>
    <row r="24" spans="3:25" ht="20" customHeight="1" x14ac:dyDescent="0.2">
      <c r="C24" s="137"/>
      <c r="D24" s="141" t="s">
        <v>115</v>
      </c>
      <c r="E24" s="141"/>
      <c r="F24" s="138" t="s">
        <v>35</v>
      </c>
      <c r="G24" s="141" t="s">
        <v>115</v>
      </c>
      <c r="H24" s="141"/>
      <c r="I24" s="138" t="s">
        <v>35</v>
      </c>
      <c r="J24" s="141" t="s">
        <v>16</v>
      </c>
      <c r="K24" s="141"/>
      <c r="L24" s="138" t="s">
        <v>35</v>
      </c>
      <c r="M24" s="141" t="s">
        <v>115</v>
      </c>
      <c r="N24" s="141"/>
      <c r="O24" s="138" t="s">
        <v>35</v>
      </c>
      <c r="P24" s="141" t="s">
        <v>16</v>
      </c>
      <c r="Q24" s="141"/>
      <c r="R24" s="138" t="s">
        <v>35</v>
      </c>
      <c r="S24" s="141" t="s">
        <v>17</v>
      </c>
      <c r="T24" s="141"/>
      <c r="U24" s="138" t="s">
        <v>35</v>
      </c>
      <c r="W24" s="45"/>
      <c r="Y24" s="4"/>
    </row>
    <row r="25" spans="3:25" ht="20" customHeight="1" x14ac:dyDescent="0.2">
      <c r="C25" s="137"/>
      <c r="D25" s="141" t="s">
        <v>118</v>
      </c>
      <c r="E25" s="141"/>
      <c r="F25" s="138" t="s">
        <v>35</v>
      </c>
      <c r="G25" s="141" t="s">
        <v>114</v>
      </c>
      <c r="H25" s="141"/>
      <c r="I25" s="138" t="s">
        <v>35</v>
      </c>
      <c r="J25" s="141" t="s">
        <v>17</v>
      </c>
      <c r="K25" s="141"/>
      <c r="L25" s="138" t="s">
        <v>35</v>
      </c>
      <c r="M25" s="141" t="s">
        <v>16</v>
      </c>
      <c r="N25" s="141"/>
      <c r="O25" s="138" t="s">
        <v>35</v>
      </c>
      <c r="P25" s="141" t="s">
        <v>17</v>
      </c>
      <c r="Q25" s="141"/>
      <c r="R25" s="138" t="s">
        <v>35</v>
      </c>
      <c r="S25" s="141" t="s">
        <v>18</v>
      </c>
      <c r="T25" s="141"/>
      <c r="U25" s="138" t="s">
        <v>35</v>
      </c>
      <c r="W25" s="45"/>
      <c r="Y25" s="4"/>
    </row>
    <row r="26" spans="3:25" ht="20" customHeight="1" x14ac:dyDescent="0.2">
      <c r="C26" s="137"/>
      <c r="D26" s="141" t="s">
        <v>114</v>
      </c>
      <c r="E26" s="141"/>
      <c r="F26" s="138" t="s">
        <v>35</v>
      </c>
      <c r="G26" s="141" t="s">
        <v>16</v>
      </c>
      <c r="H26" s="141"/>
      <c r="I26" s="138" t="s">
        <v>35</v>
      </c>
      <c r="J26" s="141" t="s">
        <v>18</v>
      </c>
      <c r="K26" s="141"/>
      <c r="L26" s="138" t="s">
        <v>35</v>
      </c>
      <c r="M26" s="141" t="s">
        <v>17</v>
      </c>
      <c r="N26" s="141"/>
      <c r="O26" s="138" t="s">
        <v>35</v>
      </c>
      <c r="P26" s="141" t="s">
        <v>18</v>
      </c>
      <c r="Q26" s="141"/>
      <c r="R26" s="138" t="s">
        <v>35</v>
      </c>
      <c r="S26" s="141" t="s">
        <v>43</v>
      </c>
      <c r="T26" s="141"/>
      <c r="U26" s="138" t="s">
        <v>35</v>
      </c>
      <c r="W26" s="45"/>
      <c r="Y26" s="4"/>
    </row>
    <row r="27" spans="3:25" ht="20" customHeight="1" x14ac:dyDescent="0.2">
      <c r="C27" s="137"/>
      <c r="D27" s="141" t="s">
        <v>16</v>
      </c>
      <c r="E27" s="141"/>
      <c r="F27" s="138" t="s">
        <v>35</v>
      </c>
      <c r="G27" s="141" t="s">
        <v>17</v>
      </c>
      <c r="H27" s="141"/>
      <c r="I27" s="138" t="s">
        <v>35</v>
      </c>
      <c r="J27" s="141" t="s">
        <v>43</v>
      </c>
      <c r="K27" s="141"/>
      <c r="L27" s="138" t="s">
        <v>35</v>
      </c>
      <c r="M27" s="141" t="s">
        <v>18</v>
      </c>
      <c r="N27" s="141"/>
      <c r="O27" s="138" t="s">
        <v>35</v>
      </c>
      <c r="P27" s="141" t="s">
        <v>43</v>
      </c>
      <c r="Q27" s="141"/>
      <c r="R27" s="138" t="s">
        <v>35</v>
      </c>
      <c r="S27" s="141" t="s">
        <v>44</v>
      </c>
      <c r="T27" s="141"/>
      <c r="U27" s="138" t="s">
        <v>35</v>
      </c>
      <c r="W27" s="45"/>
      <c r="Y27" s="4"/>
    </row>
    <row r="28" spans="3:25" ht="20" customHeight="1" x14ac:dyDescent="0.2">
      <c r="C28" s="137"/>
      <c r="D28" s="141" t="s">
        <v>17</v>
      </c>
      <c r="E28" s="141"/>
      <c r="F28" s="138" t="s">
        <v>35</v>
      </c>
      <c r="G28" s="141" t="s">
        <v>18</v>
      </c>
      <c r="H28" s="141"/>
      <c r="I28" s="138" t="s">
        <v>35</v>
      </c>
      <c r="J28" s="141" t="s">
        <v>44</v>
      </c>
      <c r="K28" s="141"/>
      <c r="L28" s="138" t="s">
        <v>35</v>
      </c>
      <c r="M28" s="141" t="s">
        <v>43</v>
      </c>
      <c r="N28" s="141"/>
      <c r="O28" s="138" t="s">
        <v>35</v>
      </c>
      <c r="P28" s="141" t="s">
        <v>44</v>
      </c>
      <c r="Q28" s="141"/>
      <c r="R28" s="138" t="s">
        <v>35</v>
      </c>
      <c r="S28" s="141" t="s">
        <v>14</v>
      </c>
      <c r="T28" s="141"/>
      <c r="U28" s="138" t="s">
        <v>35</v>
      </c>
      <c r="W28" s="45"/>
      <c r="Y28" s="4"/>
    </row>
    <row r="29" spans="3:25" ht="20" customHeight="1" x14ac:dyDescent="0.2">
      <c r="C29" s="137"/>
      <c r="D29" s="141" t="s">
        <v>18</v>
      </c>
      <c r="E29" s="141"/>
      <c r="F29" s="138" t="s">
        <v>35</v>
      </c>
      <c r="G29" s="141" t="s">
        <v>43</v>
      </c>
      <c r="H29" s="141"/>
      <c r="I29" s="138" t="s">
        <v>35</v>
      </c>
      <c r="J29" s="141" t="s">
        <v>14</v>
      </c>
      <c r="K29" s="141"/>
      <c r="L29" s="138" t="s">
        <v>35</v>
      </c>
      <c r="M29" s="141" t="s">
        <v>44</v>
      </c>
      <c r="N29" s="141"/>
      <c r="O29" s="138" t="s">
        <v>35</v>
      </c>
      <c r="P29" s="141" t="s">
        <v>14</v>
      </c>
      <c r="Q29" s="141"/>
      <c r="R29" s="138" t="s">
        <v>35</v>
      </c>
      <c r="S29" s="141" t="s">
        <v>15</v>
      </c>
      <c r="T29" s="141"/>
      <c r="U29" s="138" t="s">
        <v>35</v>
      </c>
      <c r="W29" s="45"/>
      <c r="Y29" s="4"/>
    </row>
    <row r="30" spans="3:25" ht="20" customHeight="1" x14ac:dyDescent="0.2">
      <c r="C30" s="137"/>
      <c r="D30" s="141" t="s">
        <v>43</v>
      </c>
      <c r="E30" s="141"/>
      <c r="F30" s="138" t="s">
        <v>35</v>
      </c>
      <c r="G30" s="141" t="s">
        <v>44</v>
      </c>
      <c r="H30" s="141"/>
      <c r="I30" s="138" t="s">
        <v>35</v>
      </c>
      <c r="J30" s="141" t="s">
        <v>15</v>
      </c>
      <c r="K30" s="141"/>
      <c r="L30" s="138" t="s">
        <v>35</v>
      </c>
      <c r="M30" s="141" t="s">
        <v>14</v>
      </c>
      <c r="N30" s="141"/>
      <c r="O30" s="138" t="s">
        <v>35</v>
      </c>
      <c r="P30" s="141" t="s">
        <v>15</v>
      </c>
      <c r="Q30" s="141"/>
      <c r="R30" s="138" t="s">
        <v>35</v>
      </c>
      <c r="S30" s="141" t="s">
        <v>46</v>
      </c>
      <c r="T30" s="141"/>
      <c r="U30" s="138" t="s">
        <v>35</v>
      </c>
      <c r="W30" s="45"/>
      <c r="Y30" s="4"/>
    </row>
    <row r="31" spans="3:25" ht="20" customHeight="1" x14ac:dyDescent="0.2">
      <c r="C31" s="137"/>
      <c r="D31" s="141"/>
      <c r="E31" s="141"/>
      <c r="F31" s="138"/>
      <c r="G31" s="141" t="s">
        <v>14</v>
      </c>
      <c r="H31" s="141"/>
      <c r="I31" s="138" t="s">
        <v>35</v>
      </c>
      <c r="J31" s="141" t="s">
        <v>46</v>
      </c>
      <c r="K31" s="141"/>
      <c r="L31" s="138" t="s">
        <v>35</v>
      </c>
      <c r="M31" s="141" t="s">
        <v>15</v>
      </c>
      <c r="N31" s="141"/>
      <c r="O31" s="138" t="s">
        <v>35</v>
      </c>
      <c r="P31" s="141" t="s">
        <v>46</v>
      </c>
      <c r="Q31" s="141"/>
      <c r="R31" s="138" t="s">
        <v>35</v>
      </c>
      <c r="S31" s="141" t="s">
        <v>42</v>
      </c>
      <c r="T31" s="141"/>
      <c r="U31" s="138" t="s">
        <v>35</v>
      </c>
      <c r="W31" s="45"/>
      <c r="Y31" s="4"/>
    </row>
    <row r="32" spans="3:25" ht="20" customHeight="1" x14ac:dyDescent="0.2">
      <c r="C32" s="137"/>
      <c r="D32" s="141"/>
      <c r="E32" s="141"/>
      <c r="F32" s="138"/>
      <c r="I32" s="138" t="s">
        <v>35</v>
      </c>
      <c r="J32" s="141" t="s">
        <v>42</v>
      </c>
      <c r="K32" s="141"/>
      <c r="L32" s="138" t="s">
        <v>35</v>
      </c>
      <c r="M32" s="141" t="s">
        <v>46</v>
      </c>
      <c r="N32" s="141"/>
      <c r="O32" s="138" t="s">
        <v>35</v>
      </c>
      <c r="P32" s="141" t="s">
        <v>42</v>
      </c>
      <c r="Q32" s="141"/>
      <c r="R32" s="138" t="s">
        <v>35</v>
      </c>
      <c r="S32" s="141" t="s">
        <v>117</v>
      </c>
      <c r="T32" s="141"/>
      <c r="W32" s="45"/>
      <c r="Y32" s="4"/>
    </row>
    <row r="33" spans="3:25" ht="20" customHeight="1" x14ac:dyDescent="0.2">
      <c r="C33" s="137"/>
      <c r="F33" s="138"/>
      <c r="I33" s="138"/>
      <c r="L33" s="138" t="s">
        <v>35</v>
      </c>
      <c r="M33" s="141" t="s">
        <v>42</v>
      </c>
      <c r="N33" s="141"/>
      <c r="O33" s="138" t="s">
        <v>35</v>
      </c>
      <c r="P33" s="141" t="s">
        <v>117</v>
      </c>
      <c r="Q33" s="141"/>
      <c r="R33" s="138" t="s">
        <v>35</v>
      </c>
      <c r="S33" s="141" t="s">
        <v>119</v>
      </c>
      <c r="T33" s="141"/>
      <c r="W33" s="45"/>
      <c r="Y33" s="4"/>
    </row>
    <row r="34" spans="3:25" ht="20" customHeight="1" thickBot="1" x14ac:dyDescent="0.25">
      <c r="C34" s="137"/>
      <c r="F34" s="138"/>
      <c r="I34" s="140"/>
      <c r="M34" s="141" t="s">
        <v>117</v>
      </c>
      <c r="N34" s="141"/>
      <c r="O34" s="138"/>
      <c r="W34" s="45"/>
      <c r="Y34" s="4"/>
    </row>
    <row r="35" spans="3:25" ht="20" customHeight="1" x14ac:dyDescent="0.2">
      <c r="C35" s="137"/>
      <c r="F35" s="138"/>
      <c r="O35" s="138"/>
      <c r="W35" s="45"/>
      <c r="Y35" s="4"/>
    </row>
    <row r="36" spans="3:25" ht="20" customHeight="1" x14ac:dyDescent="0.2">
      <c r="C36" s="137"/>
      <c r="F36" s="138"/>
      <c r="W36" s="45"/>
      <c r="Y36" s="4"/>
    </row>
    <row r="37" spans="3:25" ht="20" customHeight="1" x14ac:dyDescent="0.2">
      <c r="C37" s="137"/>
      <c r="F37" s="138"/>
      <c r="W37" s="45"/>
      <c r="Y37" s="4"/>
    </row>
    <row r="38" spans="3:25" ht="20" customHeight="1" thickBot="1" x14ac:dyDescent="0.25">
      <c r="C38" s="139"/>
      <c r="F38" s="140"/>
      <c r="W38" s="46"/>
      <c r="X38" s="5"/>
      <c r="Y38" s="2"/>
    </row>
  </sheetData>
  <mergeCells count="9">
    <mergeCell ref="AA2:AA8"/>
    <mergeCell ref="D1:F1"/>
    <mergeCell ref="A1:C1"/>
    <mergeCell ref="W1:Y1"/>
    <mergeCell ref="S1:U1"/>
    <mergeCell ref="P1:R1"/>
    <mergeCell ref="M1:O1"/>
    <mergeCell ref="J1:L1"/>
    <mergeCell ref="G1:I1"/>
  </mergeCells>
  <phoneticPr fontId="8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A87B5-8694-4C45-8893-6C323E422AE4}">
  <dimension ref="A1:R8"/>
  <sheetViews>
    <sheetView zoomScale="150" zoomScaleNormal="150" workbookViewId="0">
      <selection activeCell="P8" sqref="P8"/>
    </sheetView>
  </sheetViews>
  <sheetFormatPr baseColWidth="10" defaultColWidth="8.83203125" defaultRowHeight="15" x14ac:dyDescent="0.2"/>
  <cols>
    <col min="1" max="1" width="21.83203125" customWidth="1"/>
    <col min="2" max="2" width="13.1640625" customWidth="1"/>
    <col min="3" max="4" width="2.83203125" customWidth="1"/>
    <col min="5" max="5" width="7.6640625" style="100" hidden="1" customWidth="1"/>
    <col min="6" max="8" width="10.83203125" style="6" customWidth="1"/>
    <col min="9" max="9" width="15.33203125" customWidth="1"/>
    <col min="10" max="10" width="2.83203125" customWidth="1"/>
    <col min="12" max="12" width="22.83203125" bestFit="1" customWidth="1"/>
    <col min="14" max="14" width="10" bestFit="1" customWidth="1"/>
    <col min="15" max="15" width="2.83203125" customWidth="1"/>
    <col min="17" max="17" width="22.83203125" bestFit="1" customWidth="1"/>
  </cols>
  <sheetData>
    <row r="1" spans="1:18" ht="20" customHeight="1" thickBot="1" x14ac:dyDescent="0.25">
      <c r="A1" s="161" t="s">
        <v>32</v>
      </c>
      <c r="B1" s="42" t="s">
        <v>68</v>
      </c>
      <c r="C1" s="34"/>
      <c r="D1" s="34"/>
      <c r="E1" s="93" t="s">
        <v>85</v>
      </c>
      <c r="F1" s="37" t="s">
        <v>0</v>
      </c>
      <c r="G1" s="38" t="str">
        <f>""&amp;$B$2&amp;" ppm"</f>
        <v>K ppm</v>
      </c>
      <c r="H1" s="38" t="str">
        <f>""&amp;$B$2&amp;" Signal"</f>
        <v>K Signal</v>
      </c>
      <c r="I1" s="39"/>
      <c r="J1" s="39"/>
      <c r="K1" s="85" t="s">
        <v>29</v>
      </c>
      <c r="L1" s="47" t="s">
        <v>75</v>
      </c>
      <c r="M1" s="92" cm="1">
        <f t="array" aca="1" ref="M1" ca="1">INDIRECT("H"&amp;(MATCH(1,E2:E8,0)+1)&amp;"")</f>
        <v>0</v>
      </c>
      <c r="N1" s="39"/>
      <c r="O1" s="39"/>
      <c r="P1" s="40" t="s">
        <v>30</v>
      </c>
      <c r="Q1" s="47" t="s">
        <v>75</v>
      </c>
      <c r="R1" s="87" cm="1">
        <f t="array" aca="1" ref="R1" ca="1">INDIRECT("H"&amp;(MATCH(2,E2:E8,0)+1)&amp;"")</f>
        <v>0</v>
      </c>
    </row>
    <row r="2" spans="1:18" ht="20" customHeight="1" thickBot="1" x14ac:dyDescent="0.3">
      <c r="A2" s="162"/>
      <c r="B2" s="43" t="s">
        <v>1</v>
      </c>
      <c r="C2" s="31"/>
      <c r="D2" s="166" t="s">
        <v>79</v>
      </c>
      <c r="E2" s="94">
        <v>1</v>
      </c>
      <c r="F2" s="49" t="s">
        <v>19</v>
      </c>
      <c r="G2" s="50">
        <f>HLOOKUP($B$2,Caldat!$AC$1:$AT$8,ROW(F2),FALSE)</f>
        <v>125.146</v>
      </c>
      <c r="H2" s="66">
        <f>IFERROR(VLOOKUP($B$2,Caldat!A$2:C$38,2,FALSE),0)</f>
        <v>0</v>
      </c>
      <c r="I2" s="39"/>
      <c r="J2" s="39"/>
      <c r="K2" s="39"/>
      <c r="L2" s="48" t="s">
        <v>76</v>
      </c>
      <c r="M2" s="86" cm="1">
        <f t="array" aca="1" ref="M2" ca="1">INDIRECT("H"&amp;(MATCH(1,E2:E8,1)+1)&amp;"")</f>
        <v>0</v>
      </c>
      <c r="N2" s="39"/>
      <c r="O2" s="39"/>
      <c r="P2" s="39"/>
      <c r="Q2" s="48" t="s">
        <v>76</v>
      </c>
      <c r="R2" s="86" cm="1">
        <f t="array" aca="1" ref="R2" ca="1">INDIRECT("H"&amp;(MATCH(2,E2:E8,1)+1)&amp;"")</f>
        <v>0</v>
      </c>
    </row>
    <row r="3" spans="1:18" ht="20" customHeight="1" x14ac:dyDescent="0.2">
      <c r="A3" s="35" t="s">
        <v>48</v>
      </c>
      <c r="B3" s="91" t="str">
        <f ca="1">IF(M7&lt;B5,"—",IF(M3&lt;M2,M7,IF(M3&lt;R1,((M3-M2)/(R1-M2))*R7+(1-((M3-M2)/(R1-M2)))*M7,R7)))</f>
        <v>—</v>
      </c>
      <c r="C3" s="32"/>
      <c r="D3" s="167"/>
      <c r="E3" s="95">
        <v>1</v>
      </c>
      <c r="F3" s="51" t="s">
        <v>20</v>
      </c>
      <c r="G3" s="52">
        <f>HLOOKUP($B$2,Caldat!$AC$1:$AT$8,ROW(F3),FALSE)</f>
        <v>225.86600000000001</v>
      </c>
      <c r="H3" s="67">
        <f>VLOOKUP($B$2,Caldat!D$2:F$38,2,FALSE)</f>
        <v>0</v>
      </c>
      <c r="I3" s="39"/>
      <c r="J3" s="39"/>
      <c r="K3" s="39"/>
      <c r="L3" s="47" t="s">
        <v>28</v>
      </c>
      <c r="M3" s="83" t="str">
        <f>IFERROR(VLOOKUP($B$2,Samdat!$A$4:$B$50,2,FALSE),"—")</f>
        <v>—</v>
      </c>
      <c r="N3" s="39"/>
      <c r="O3" s="39"/>
      <c r="P3" s="39"/>
      <c r="Q3" s="47" t="s">
        <v>28</v>
      </c>
      <c r="R3" s="69" t="str">
        <f>M3</f>
        <v>—</v>
      </c>
    </row>
    <row r="4" spans="1:18" ht="20" customHeight="1" thickBot="1" x14ac:dyDescent="0.25">
      <c r="A4" s="36" t="s">
        <v>49</v>
      </c>
      <c r="B4" s="61" t="str">
        <f ca="1">IF(M7&lt;B5,"Not Significant",IF(M3&lt;M1,"Low Signal",IF(M3&lt;M2,"In Range",IF(M3&lt;R2,"In Range",IF(M3&lt;&gt;"—","High Signal","No Signal")))))</f>
        <v>No Signal</v>
      </c>
      <c r="C4" s="31"/>
      <c r="D4" s="167"/>
      <c r="E4" s="95">
        <v>1</v>
      </c>
      <c r="F4" s="51" t="s">
        <v>21</v>
      </c>
      <c r="G4" s="52">
        <f>HLOOKUP($B$2,Caldat!$AC$1:$AT$8,ROW(F4),FALSE)</f>
        <v>308.77699999999999</v>
      </c>
      <c r="H4" s="67">
        <f>VLOOKUP($B$2,Caldat!G$2:I$36,2,FALSE)</f>
        <v>0</v>
      </c>
      <c r="I4" s="39"/>
      <c r="J4" s="39"/>
      <c r="K4" s="39"/>
      <c r="L4" s="48" t="s">
        <v>77</v>
      </c>
      <c r="M4" s="62">
        <f ca="1">SLOPE(INDIRECT("H"&amp;(MATCH(1,E2:E8,0)+1)&amp;":H"&amp;(MATCH(1,E2:E8,1)+1)&amp;""),INDIRECT("G"&amp;(MATCH(1,E2:E8,0)+1)&amp;":G"&amp;(MATCH(1,E2:E8,1)+1)&amp;""))</f>
        <v>0</v>
      </c>
      <c r="N4" s="39"/>
      <c r="O4" s="39"/>
      <c r="P4" s="39"/>
      <c r="Q4" s="48" t="s">
        <v>77</v>
      </c>
      <c r="R4" s="62">
        <f ca="1">SLOPE(INDIRECT("H"&amp;(MATCH(2,E2:E8,0)+1)&amp;":H"&amp;(MATCH(2,E2:E8,1)+1)&amp;""),INDIRECT("G"&amp;(MATCH(2,E2:E8,0)+1)&amp;":G"&amp;(MATCH(2,E2:E8,1)+1)&amp;""))</f>
        <v>0</v>
      </c>
    </row>
    <row r="5" spans="1:18" ht="20" customHeight="1" thickBot="1" x14ac:dyDescent="0.25">
      <c r="A5" s="35" t="s">
        <v>71</v>
      </c>
      <c r="B5" s="60">
        <f>VLOOKUP(B2,Caldat!$W$2:$Y$38,2,FALSE)</f>
        <v>15</v>
      </c>
      <c r="D5" s="168"/>
      <c r="E5" s="96">
        <v>1</v>
      </c>
      <c r="F5" s="58" t="s">
        <v>22</v>
      </c>
      <c r="G5" s="59">
        <f>HLOOKUP($B$2,Caldat!$AC$1:$AT$8,ROW(F5),FALSE)</f>
        <v>491.25</v>
      </c>
      <c r="H5" s="68">
        <f>VLOOKUP($B$2,Caldat!J$2:L$34,2,FALSE)</f>
        <v>0</v>
      </c>
      <c r="I5" s="39"/>
      <c r="J5" s="39"/>
      <c r="K5" s="39"/>
      <c r="L5" s="48" t="s">
        <v>26</v>
      </c>
      <c r="M5" s="62">
        <f ca="1">INTERCEPT(INDIRECT("H"&amp;(MATCH(1,E2:E8,0)+1)&amp;":H"&amp;(MATCH(1,E2:E8,1)+1)&amp;""),INDIRECT("G"&amp;(MATCH(1,E2:E8,0)+1)&amp;":G"&amp;(MATCH(1,E2:E8,1)+1)&amp;""))</f>
        <v>0</v>
      </c>
      <c r="N5" s="39"/>
      <c r="O5" s="39"/>
      <c r="P5" s="39"/>
      <c r="Q5" s="48" t="s">
        <v>26</v>
      </c>
      <c r="R5" s="62">
        <f ca="1">INTERCEPT(INDIRECT("H"&amp;(MATCH(2,E2:E8,0)+1)&amp;":H"&amp;(MATCH(2,E2:E8,1)+1)&amp;""),INDIRECT("G"&amp;(MATCH(2,E2:E8,0)+1)&amp;":G"&amp;(MATCH(2,E2:E8,1)+1)&amp;""))</f>
        <v>0</v>
      </c>
    </row>
    <row r="6" spans="1:18" ht="20" customHeight="1" thickBot="1" x14ac:dyDescent="0.25">
      <c r="A6" s="36" t="s">
        <v>72</v>
      </c>
      <c r="B6" s="61">
        <f>ROUND(B5/3,2)</f>
        <v>5</v>
      </c>
      <c r="D6" s="163" t="s">
        <v>80</v>
      </c>
      <c r="E6" s="98">
        <v>2</v>
      </c>
      <c r="F6" s="53" t="s">
        <v>23</v>
      </c>
      <c r="G6" s="54">
        <f>HLOOKUP($B$2,Caldat!$AC$1:$AT$8,ROW(F6),FALSE)</f>
        <v>860.15899999999999</v>
      </c>
      <c r="H6" s="67">
        <f>VLOOKUP($B$2,Caldat!M$2:O$36,2,FALSE)</f>
        <v>0</v>
      </c>
      <c r="I6" s="39"/>
      <c r="J6" s="39"/>
      <c r="K6" s="39"/>
      <c r="L6" s="63" t="s">
        <v>78</v>
      </c>
      <c r="M6" s="64" t="e">
        <f ca="1">RSQ(INDIRECT("H"&amp;(MATCH(1,E2:E8,0)+1)&amp;":H"&amp;(MATCH(1,E2:E8,1)+1)&amp;""),INDIRECT("G"&amp;(MATCH(1,E2:E8,0)+1)&amp;":G"&amp;(MATCH(1,E2:E8,1)+1)&amp;""))</f>
        <v>#DIV/0!</v>
      </c>
      <c r="N6" s="41"/>
      <c r="O6" s="39"/>
      <c r="P6" s="39"/>
      <c r="Q6" s="63" t="s">
        <v>78</v>
      </c>
      <c r="R6" s="64" t="e">
        <f ca="1">RSQ(INDIRECT("H"&amp;(MATCH(2,E2:E8,0)+1)&amp;":H"&amp;(MATCH(2,E2:E8,1)+1)&amp;""),INDIRECT("G"&amp;(MATCH(2,E2:E8,0)+1)&amp;":G"&amp;(MATCH(2,E2:E8,1)+1)&amp;""))</f>
        <v>#DIV/0!</v>
      </c>
    </row>
    <row r="7" spans="1:18" ht="20" customHeight="1" thickBot="1" x14ac:dyDescent="0.25">
      <c r="D7" s="164"/>
      <c r="E7" s="98">
        <v>2</v>
      </c>
      <c r="F7" s="53" t="s">
        <v>24</v>
      </c>
      <c r="G7" s="54">
        <f>HLOOKUP($B$2,Caldat!$AC$1:$AT$8,ROW(F7),FALSE)</f>
        <v>1214.0360000000001</v>
      </c>
      <c r="H7" s="67">
        <f>VLOOKUP($B$2,Caldat!P$2:R$32,2,FALSE)</f>
        <v>0</v>
      </c>
      <c r="I7" s="39"/>
      <c r="J7" s="39"/>
      <c r="K7" s="39"/>
      <c r="L7" s="65" t="s">
        <v>27</v>
      </c>
      <c r="M7" s="84" t="str">
        <f ca="1">IFERROR((M3-M5)/M4,"—")</f>
        <v>—</v>
      </c>
      <c r="N7" s="88"/>
      <c r="O7" s="39"/>
      <c r="P7" s="39"/>
      <c r="Q7" s="65" t="s">
        <v>27</v>
      </c>
      <c r="R7" s="84" t="str">
        <f ca="1">IFERROR((R3-R5)/R4,"—")</f>
        <v>—</v>
      </c>
    </row>
    <row r="8" spans="1:18" ht="20" customHeight="1" thickBot="1" x14ac:dyDescent="0.25">
      <c r="D8" s="165"/>
      <c r="E8" s="99">
        <v>2</v>
      </c>
      <c r="F8" s="55" t="s">
        <v>25</v>
      </c>
      <c r="G8" s="74">
        <f>HLOOKUP($B$2,Caldat!$AC$1:$AT$8,ROW(F8),FALSE)</f>
        <v>1578.1990000000001</v>
      </c>
      <c r="H8" s="75">
        <f>VLOOKUP($B$2,Caldat!S$2:U$29,2,FALSE)</f>
        <v>0</v>
      </c>
      <c r="I8" s="39"/>
      <c r="J8" s="39"/>
      <c r="K8" s="39"/>
      <c r="N8" s="39"/>
      <c r="O8" s="39"/>
      <c r="P8" s="39"/>
      <c r="Q8" s="39"/>
      <c r="R8" s="39"/>
    </row>
  </sheetData>
  <mergeCells count="3">
    <mergeCell ref="A1:A2"/>
    <mergeCell ref="D6:D8"/>
    <mergeCell ref="D2:D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51A1-AD99-4610-9870-C1E38EC0D8F4}">
  <dimension ref="A1:R8"/>
  <sheetViews>
    <sheetView zoomScale="150" zoomScaleNormal="150" workbookViewId="0">
      <selection activeCell="R3" sqref="R3"/>
    </sheetView>
  </sheetViews>
  <sheetFormatPr baseColWidth="10" defaultColWidth="8.83203125" defaultRowHeight="15" x14ac:dyDescent="0.2"/>
  <cols>
    <col min="1" max="1" width="21.83203125" customWidth="1"/>
    <col min="2" max="2" width="13.1640625" customWidth="1"/>
    <col min="3" max="4" width="2.83203125" customWidth="1"/>
    <col min="5" max="5" width="7.6640625" style="100" hidden="1" customWidth="1"/>
    <col min="6" max="8" width="10.83203125" style="6" customWidth="1"/>
    <col min="9" max="9" width="15.33203125" customWidth="1"/>
    <col min="10" max="10" width="2.83203125" customWidth="1"/>
    <col min="12" max="12" width="22.83203125" bestFit="1" customWidth="1"/>
    <col min="15" max="15" width="2.83203125" customWidth="1"/>
    <col min="17" max="17" width="22.83203125" bestFit="1" customWidth="1"/>
  </cols>
  <sheetData>
    <row r="1" spans="1:18" ht="20" customHeight="1" thickBot="1" x14ac:dyDescent="0.25">
      <c r="A1" s="161" t="s">
        <v>32</v>
      </c>
      <c r="B1" s="42" t="s">
        <v>73</v>
      </c>
      <c r="C1" s="34"/>
      <c r="D1" s="34"/>
      <c r="E1" s="93" t="s">
        <v>85</v>
      </c>
      <c r="F1" s="37" t="s">
        <v>0</v>
      </c>
      <c r="G1" s="38" t="str">
        <f>""&amp;$B$2&amp;" ppm"</f>
        <v>Ca ppm</v>
      </c>
      <c r="H1" s="38" t="str">
        <f>""&amp;$B$2&amp;" Signal"</f>
        <v>Ca Signal</v>
      </c>
      <c r="I1" s="39"/>
      <c r="J1" s="39"/>
      <c r="K1" s="85" t="s">
        <v>29</v>
      </c>
      <c r="L1" s="47" t="s">
        <v>75</v>
      </c>
      <c r="M1" s="92" cm="1">
        <f t="array" aca="1" ref="M1" ca="1">INDIRECT("H"&amp;(MATCH(1,E2:E8,0)+1)&amp;"")</f>
        <v>0</v>
      </c>
      <c r="N1" s="39"/>
      <c r="O1" s="39"/>
      <c r="P1" s="40" t="s">
        <v>30</v>
      </c>
      <c r="Q1" s="47" t="s">
        <v>75</v>
      </c>
      <c r="R1" s="87" cm="1">
        <f t="array" aca="1" ref="R1" ca="1">INDIRECT("H"&amp;(MATCH(2,E2:E8,0)+1)&amp;"")</f>
        <v>0</v>
      </c>
    </row>
    <row r="2" spans="1:18" ht="20" customHeight="1" thickBot="1" x14ac:dyDescent="0.3">
      <c r="A2" s="162"/>
      <c r="B2" s="43" t="s">
        <v>2</v>
      </c>
      <c r="C2" s="31"/>
      <c r="D2" s="166" t="s">
        <v>79</v>
      </c>
      <c r="E2" s="94">
        <v>1</v>
      </c>
      <c r="F2" s="49" t="s">
        <v>19</v>
      </c>
      <c r="G2" s="50">
        <f>HLOOKUP($B$2,Caldat!$AC$1:$AT$8,ROW(F2),FALSE)</f>
        <v>206.2861</v>
      </c>
      <c r="H2" s="66">
        <f>IFERROR(VLOOKUP($B$2,Caldat!A$2:C$38,2,FALSE),0)</f>
        <v>0</v>
      </c>
      <c r="I2" s="39"/>
      <c r="J2" s="39"/>
      <c r="K2" s="39"/>
      <c r="L2" s="48" t="s">
        <v>76</v>
      </c>
      <c r="M2" s="86" cm="1">
        <f t="array" aca="1" ref="M2" ca="1">INDIRECT("H"&amp;(MATCH(1,E2:E8,1)+1)&amp;"")</f>
        <v>0</v>
      </c>
      <c r="N2" s="39"/>
      <c r="O2" s="39"/>
      <c r="P2" s="39"/>
      <c r="Q2" s="48" t="s">
        <v>76</v>
      </c>
      <c r="R2" s="86" cm="1">
        <f t="array" aca="1" ref="R2" ca="1">INDIRECT("H"&amp;(MATCH(2,E2:E8,1)+1)&amp;"")</f>
        <v>0</v>
      </c>
    </row>
    <row r="3" spans="1:18" ht="20" customHeight="1" x14ac:dyDescent="0.2">
      <c r="A3" s="35" t="s">
        <v>48</v>
      </c>
      <c r="B3" s="91" t="str">
        <f ca="1">IF(M7&lt;B5,"—",IF(M3&lt;M2,M7,IF(M3&lt;R1,((M3-M2)/(R1-M2))*R7+(1-((M3-M2)/(R1-M2)))*M7,R7)))</f>
        <v>—</v>
      </c>
      <c r="C3" s="32"/>
      <c r="D3" s="167"/>
      <c r="E3" s="95">
        <v>1</v>
      </c>
      <c r="F3" s="51" t="s">
        <v>20</v>
      </c>
      <c r="G3" s="52">
        <f>HLOOKUP($B$2,Caldat!$AC$1:$AT$8,ROW(F3),FALSE)</f>
        <v>307.00590699999998</v>
      </c>
      <c r="H3" s="67">
        <f>VLOOKUP($B$2,Caldat!D$2:F$38,2,FALSE)</f>
        <v>0</v>
      </c>
      <c r="I3" s="39"/>
      <c r="J3" s="39"/>
      <c r="K3" s="39"/>
      <c r="L3" s="47" t="s">
        <v>28</v>
      </c>
      <c r="M3" s="83" t="str">
        <f>IFERROR(VLOOKUP($B$2,Samdat!$A$4:$B$50,2,FALSE),"—")</f>
        <v>—</v>
      </c>
      <c r="N3" s="39"/>
      <c r="O3" s="39"/>
      <c r="P3" s="39"/>
      <c r="Q3" s="47" t="s">
        <v>28</v>
      </c>
      <c r="R3" s="69" t="str">
        <f>M3</f>
        <v>—</v>
      </c>
    </row>
    <row r="4" spans="1:18" ht="20" customHeight="1" thickBot="1" x14ac:dyDescent="0.25">
      <c r="A4" s="36" t="s">
        <v>49</v>
      </c>
      <c r="B4" s="61" t="str">
        <f ca="1">IF(M7&lt;B5,"Not Significant",IF(M3&lt;M1,"Low Signal",IF(M3&lt;M2,"In Range",IF(M3&lt;R2,"In Range",IF(M3&lt;&gt;"—","High Signal","No Signal")))))</f>
        <v>No Signal</v>
      </c>
      <c r="C4" s="31"/>
      <c r="D4" s="168"/>
      <c r="E4" s="96">
        <v>1</v>
      </c>
      <c r="F4" s="58" t="s">
        <v>21</v>
      </c>
      <c r="G4" s="59">
        <f>HLOOKUP($B$2,Caldat!$AC$1:$AT$8,ROW(F4),FALSE)</f>
        <v>389.91666500000002</v>
      </c>
      <c r="H4" s="68">
        <f>VLOOKUP($B$2,Caldat!G$2:I$36,2,FALSE)</f>
        <v>0</v>
      </c>
      <c r="I4" s="39"/>
      <c r="J4" s="39"/>
      <c r="K4" s="39"/>
      <c r="L4" s="48" t="s">
        <v>77</v>
      </c>
      <c r="M4" s="62">
        <f ca="1">SLOPE(INDIRECT("H"&amp;(MATCH(1,E2:E8,0)+1)&amp;":H"&amp;(MATCH(1,E2:E8,1)+1)&amp;""),INDIRECT("G"&amp;(MATCH(1,E2:E8,0)+1)&amp;":G"&amp;(MATCH(1,E2:E8,1)+1)&amp;""))</f>
        <v>0</v>
      </c>
      <c r="N4" s="39"/>
      <c r="O4" s="39"/>
      <c r="P4" s="39"/>
      <c r="Q4" s="48" t="s">
        <v>77</v>
      </c>
      <c r="R4" s="62">
        <f ca="1">SLOPE(INDIRECT("H"&amp;(MATCH(2,E2:E8,0)+1)&amp;":H"&amp;(MATCH(2,E2:E8,1)+1)&amp;""),INDIRECT("G"&amp;(MATCH(2,E2:E8,0)+1)&amp;":G"&amp;(MATCH(2,E2:E8,1)+1)&amp;""))</f>
        <v>0</v>
      </c>
    </row>
    <row r="5" spans="1:18" ht="20" customHeight="1" x14ac:dyDescent="0.2">
      <c r="A5" s="35" t="s">
        <v>71</v>
      </c>
      <c r="B5" s="60">
        <f>VLOOKUP(B2,Caldat!$W$2:$Y$38,2,FALSE)</f>
        <v>15</v>
      </c>
      <c r="D5" s="163" t="s">
        <v>80</v>
      </c>
      <c r="E5" s="97">
        <v>2</v>
      </c>
      <c r="F5" s="56" t="s">
        <v>22</v>
      </c>
      <c r="G5" s="57">
        <f>HLOOKUP($B$2,Caldat!$AC$1:$AT$8,ROW(F5),FALSE)</f>
        <v>572.38969999999995</v>
      </c>
      <c r="H5" s="66">
        <f>VLOOKUP($B$2,Caldat!J$2:L$34,2,FALSE)</f>
        <v>0</v>
      </c>
      <c r="I5" s="39"/>
      <c r="J5" s="39"/>
      <c r="K5" s="39"/>
      <c r="L5" s="48" t="s">
        <v>26</v>
      </c>
      <c r="M5" s="62">
        <f ca="1">INTERCEPT(INDIRECT("H"&amp;(MATCH(1,E2:E8,0)+1)&amp;":H"&amp;(MATCH(1,E2:E8,1)+1)&amp;""),INDIRECT("G"&amp;(MATCH(1,E2:E8,0)+1)&amp;":G"&amp;(MATCH(1,E2:E8,1)+1)&amp;""))</f>
        <v>0</v>
      </c>
      <c r="N5" s="39"/>
      <c r="O5" s="39"/>
      <c r="P5" s="39"/>
      <c r="Q5" s="48" t="s">
        <v>26</v>
      </c>
      <c r="R5" s="62">
        <f ca="1">INTERCEPT(INDIRECT("H"&amp;(MATCH(2,E2:E8,0)+1)&amp;":H"&amp;(MATCH(2,E2:E8,1)+1)&amp;""),INDIRECT("G"&amp;(MATCH(2,E2:E8,0)+1)&amp;":G"&amp;(MATCH(2,E2:E8,1)+1)&amp;""))</f>
        <v>0</v>
      </c>
    </row>
    <row r="6" spans="1:18" ht="20" customHeight="1" thickBot="1" x14ac:dyDescent="0.25">
      <c r="A6" s="36" t="s">
        <v>72</v>
      </c>
      <c r="B6" s="61">
        <f>ROUND(B5/3,2)</f>
        <v>5</v>
      </c>
      <c r="D6" s="164"/>
      <c r="E6" s="98">
        <v>2</v>
      </c>
      <c r="F6" s="53" t="s">
        <v>23</v>
      </c>
      <c r="G6" s="54">
        <f>HLOOKUP($B$2,Caldat!$AC$1:$AT$8,ROW(F6),FALSE)</f>
        <v>941.29921100000001</v>
      </c>
      <c r="H6" s="67">
        <f>VLOOKUP($B$2,Caldat!M$2:O$36,2,FALSE)</f>
        <v>0</v>
      </c>
      <c r="I6" s="39"/>
      <c r="J6" s="39"/>
      <c r="K6" s="39"/>
      <c r="L6" s="63" t="s">
        <v>78</v>
      </c>
      <c r="M6" s="64" t="e">
        <f ca="1">RSQ(INDIRECT("H"&amp;(MATCH(1,E2:E8,0)+1)&amp;":H"&amp;(MATCH(1,E2:E8,1)+1)&amp;""),INDIRECT("G"&amp;(MATCH(1,E2:E8,0)+1)&amp;":G"&amp;(MATCH(1,E2:E8,1)+1)&amp;""))</f>
        <v>#DIV/0!</v>
      </c>
      <c r="N6" s="41"/>
      <c r="O6" s="39"/>
      <c r="P6" s="39"/>
      <c r="Q6" s="63" t="s">
        <v>78</v>
      </c>
      <c r="R6" s="64" t="e">
        <f ca="1">RSQ(INDIRECT("H"&amp;(MATCH(2,E2:E8,0)+1)&amp;":H"&amp;(MATCH(2,E2:E8,1)+1)&amp;""),INDIRECT("G"&amp;(MATCH(2,E2:E8,0)+1)&amp;":G"&amp;(MATCH(2,E2:E8,1)+1)&amp;""))</f>
        <v>#DIV/0!</v>
      </c>
    </row>
    <row r="7" spans="1:18" ht="20" customHeight="1" thickBot="1" x14ac:dyDescent="0.25">
      <c r="D7" s="164"/>
      <c r="E7" s="98">
        <v>2</v>
      </c>
      <c r="F7" s="53" t="s">
        <v>24</v>
      </c>
      <c r="G7" s="54">
        <f>HLOOKUP($B$2,Caldat!$AC$1:$AT$8,ROW(F7),FALSE)</f>
        <v>1295.17641</v>
      </c>
      <c r="H7" s="67">
        <f>VLOOKUP($B$2,Caldat!P$2:R$32,2,FALSE)</f>
        <v>0</v>
      </c>
      <c r="I7" s="39"/>
      <c r="J7" s="39"/>
      <c r="K7" s="39"/>
      <c r="L7" s="65" t="s">
        <v>27</v>
      </c>
      <c r="M7" s="84" t="str">
        <f ca="1">IFERROR((M3-M5)/M4,"—")</f>
        <v>—</v>
      </c>
      <c r="N7" s="33"/>
      <c r="O7" s="33"/>
      <c r="P7" s="33"/>
      <c r="Q7" s="65" t="s">
        <v>27</v>
      </c>
      <c r="R7" s="84" t="str">
        <f ca="1">IFERROR((R3-R5)/R4,"—")</f>
        <v>—</v>
      </c>
    </row>
    <row r="8" spans="1:18" ht="20" customHeight="1" thickBot="1" x14ac:dyDescent="0.25">
      <c r="D8" s="165"/>
      <c r="E8" s="99">
        <v>2</v>
      </c>
      <c r="F8" s="55" t="s">
        <v>25</v>
      </c>
      <c r="G8" s="74">
        <f>HLOOKUP($B$2,Caldat!$AC$1:$AT$8,ROW(F8),FALSE)</f>
        <v>1659.33943</v>
      </c>
      <c r="H8" s="75">
        <f>VLOOKUP($B$2,Caldat!S$2:U$29,2,FALSE)</f>
        <v>0</v>
      </c>
      <c r="I8" s="39"/>
      <c r="J8" s="39"/>
      <c r="K8" s="39"/>
      <c r="N8" s="39"/>
      <c r="O8" s="39"/>
      <c r="P8" s="39"/>
      <c r="Q8" s="39"/>
      <c r="R8" s="39"/>
    </row>
  </sheetData>
  <mergeCells count="3">
    <mergeCell ref="A1:A2"/>
    <mergeCell ref="D2:D4"/>
    <mergeCell ref="D5:D8"/>
  </mergeCells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22287-2E59-0E4E-9A94-9E1595216DD9}">
  <dimension ref="A1:R8"/>
  <sheetViews>
    <sheetView zoomScale="150" zoomScaleNormal="150" workbookViewId="0">
      <selection activeCell="L7" sqref="L7:R7"/>
    </sheetView>
  </sheetViews>
  <sheetFormatPr baseColWidth="10" defaultColWidth="8.83203125" defaultRowHeight="15" x14ac:dyDescent="0.2"/>
  <cols>
    <col min="1" max="1" width="21.83203125" customWidth="1"/>
    <col min="2" max="2" width="13.1640625" customWidth="1"/>
    <col min="3" max="4" width="2.83203125" customWidth="1"/>
    <col min="5" max="5" width="7.6640625" style="100" hidden="1" customWidth="1"/>
    <col min="6" max="8" width="10.83203125" style="6" customWidth="1"/>
    <col min="9" max="9" width="15.33203125" customWidth="1"/>
    <col min="10" max="10" width="2.83203125" customWidth="1"/>
    <col min="12" max="12" width="22.83203125" bestFit="1" customWidth="1"/>
    <col min="13" max="14" width="8.83203125" style="20"/>
    <col min="15" max="15" width="2.83203125" style="20" customWidth="1"/>
    <col min="16" max="16" width="8.83203125" style="20"/>
    <col min="17" max="17" width="22.83203125" style="20" bestFit="1" customWidth="1"/>
    <col min="18" max="18" width="8.83203125" style="20"/>
  </cols>
  <sheetData>
    <row r="1" spans="1:18" ht="20" customHeight="1" thickBot="1" x14ac:dyDescent="0.25">
      <c r="A1" s="161" t="s">
        <v>32</v>
      </c>
      <c r="B1" s="42" t="s">
        <v>74</v>
      </c>
      <c r="C1" s="34"/>
      <c r="D1" s="34"/>
      <c r="E1" s="93" t="s">
        <v>85</v>
      </c>
      <c r="F1" s="37" t="s">
        <v>0</v>
      </c>
      <c r="G1" s="38" t="str">
        <f>""&amp;$B$2&amp;" ppm"</f>
        <v>V ppm</v>
      </c>
      <c r="H1" s="38" t="str">
        <f>""&amp;$B$2&amp;" Signal"</f>
        <v>V Signal</v>
      </c>
      <c r="I1" s="39"/>
      <c r="J1" s="39"/>
      <c r="K1" s="85" t="s">
        <v>29</v>
      </c>
      <c r="L1" s="47" t="s">
        <v>75</v>
      </c>
      <c r="M1" s="92" cm="1">
        <f t="array" aca="1" ref="M1" ca="1">INDIRECT("H"&amp;(MATCH(1,E2:E8,0)+1)&amp;"")</f>
        <v>0</v>
      </c>
      <c r="N1" s="39"/>
      <c r="O1" s="39"/>
      <c r="P1" s="40" t="s">
        <v>30</v>
      </c>
      <c r="Q1" s="47" t="s">
        <v>75</v>
      </c>
      <c r="R1" s="87" cm="1">
        <f t="array" aca="1" ref="R1" ca="1">INDIRECT("H"&amp;(MATCH(2,E2:E8,0)+1)&amp;"")</f>
        <v>0</v>
      </c>
    </row>
    <row r="2" spans="1:18" ht="20" customHeight="1" thickBot="1" x14ac:dyDescent="0.3">
      <c r="A2" s="162"/>
      <c r="B2" s="43" t="s">
        <v>3</v>
      </c>
      <c r="C2" s="31"/>
      <c r="D2" s="79"/>
      <c r="E2" s="79"/>
      <c r="F2" s="80" t="s">
        <v>19</v>
      </c>
      <c r="G2" s="81">
        <f>HLOOKUP($B$2,Caldat!$AC$1:$AT$8,ROW(F2),FALSE)</f>
        <v>0</v>
      </c>
      <c r="H2" s="82">
        <f>IFERROR(VLOOKUP($B$2,Caldat!A$2:C$38,2,FALSE),0)</f>
        <v>0</v>
      </c>
      <c r="I2" s="39"/>
      <c r="J2" s="39"/>
      <c r="K2" s="39"/>
      <c r="L2" s="48" t="s">
        <v>76</v>
      </c>
      <c r="M2" s="86" cm="1">
        <f t="array" aca="1" ref="M2" ca="1">INDIRECT("H"&amp;(MATCH(1,E2:E8,1)+1)&amp;"")</f>
        <v>0</v>
      </c>
      <c r="N2" s="39"/>
      <c r="O2" s="39"/>
      <c r="P2" s="39"/>
      <c r="Q2" s="48" t="s">
        <v>76</v>
      </c>
      <c r="R2" s="86" cm="1">
        <f t="array" aca="1" ref="R2" ca="1">INDIRECT("H"&amp;(MATCH(2,E2:E8,1)+1)&amp;"")</f>
        <v>0</v>
      </c>
    </row>
    <row r="3" spans="1:18" ht="20" customHeight="1" x14ac:dyDescent="0.2">
      <c r="A3" s="35" t="s">
        <v>48</v>
      </c>
      <c r="B3" s="91" t="str">
        <f ca="1">IF(M7&lt;B5,"—",IF(M3&lt;M2,M7,IF(M3&lt;R1,((M3-M2)/(R1-M2))*R7+(1-((M3-M2)/(R1-M2)))*M7,R7)))</f>
        <v>—</v>
      </c>
      <c r="C3" s="32"/>
      <c r="D3" s="167" t="s">
        <v>79</v>
      </c>
      <c r="E3" s="95">
        <v>1</v>
      </c>
      <c r="F3" s="76" t="s">
        <v>20</v>
      </c>
      <c r="G3" s="77">
        <f>HLOOKUP($B$2,Caldat!$AC$1:$AT$8,ROW(F3),FALSE)</f>
        <v>10.07198</v>
      </c>
      <c r="H3" s="78">
        <f>VLOOKUP($B$2,Caldat!D$2:F$38,2,FALSE)</f>
        <v>0</v>
      </c>
      <c r="I3" s="39"/>
      <c r="J3" s="39"/>
      <c r="K3" s="39"/>
      <c r="L3" s="47" t="s">
        <v>28</v>
      </c>
      <c r="M3" s="83" t="str">
        <f>IFERROR(VLOOKUP($B$2,Samdat!$A$4:$B$50,2,FALSE),"—")</f>
        <v>—</v>
      </c>
      <c r="N3" s="33"/>
      <c r="O3" s="33"/>
      <c r="P3" s="33"/>
      <c r="Q3" s="47" t="s">
        <v>28</v>
      </c>
      <c r="R3" s="83" t="str">
        <f>M3</f>
        <v>—</v>
      </c>
    </row>
    <row r="4" spans="1:18" ht="20" customHeight="1" thickBot="1" x14ac:dyDescent="0.25">
      <c r="A4" s="36" t="s">
        <v>49</v>
      </c>
      <c r="B4" s="61" t="str">
        <f ca="1">IF(M7&lt;B5,"Not Significant",IF(M3&lt;M1,"Low Signal",IF(M3&lt;M2,"In Range",IF(M3&lt;R2,"In Range",IF(M3&lt;&gt;"—","High Signal","No Signal")))))</f>
        <v>No Signal</v>
      </c>
      <c r="C4" s="31"/>
      <c r="D4" s="167"/>
      <c r="E4" s="95">
        <v>1</v>
      </c>
      <c r="F4" s="51" t="s">
        <v>21</v>
      </c>
      <c r="G4" s="52">
        <f>HLOOKUP($B$2,Caldat!$AC$1:$AT$8,ROW(F4),FALSE)</f>
        <v>18.363060000000001</v>
      </c>
      <c r="H4" s="67">
        <f>VLOOKUP($B$2,Caldat!G$2:I$36,2,FALSE)</f>
        <v>0</v>
      </c>
      <c r="J4" s="39"/>
      <c r="K4" s="39"/>
      <c r="L4" s="48" t="s">
        <v>77</v>
      </c>
      <c r="M4" s="62">
        <f ca="1">SLOPE(INDIRECT("H"&amp;(MATCH(1,E2:E8,0)+1)&amp;":H"&amp;(MATCH(1,E2:E8,1)+1)&amp;""),INDIRECT("G"&amp;(MATCH(1,E2:E8,0)+1)&amp;":G"&amp;(MATCH(1,E2:E8,1)+1)&amp;""))</f>
        <v>0</v>
      </c>
      <c r="N4" s="39"/>
      <c r="O4" s="39"/>
      <c r="P4" s="39"/>
      <c r="Q4" s="48" t="s">
        <v>77</v>
      </c>
      <c r="R4" s="62">
        <f ca="1">SLOPE(INDIRECT("H"&amp;(MATCH(2,E2:E8,0)+1)&amp;":H"&amp;(MATCH(2,E2:E8,1)+1)&amp;""),INDIRECT("G"&amp;(MATCH(2,E2:E8,0)+1)&amp;":G"&amp;(MATCH(2,E2:E8,1)+1)&amp;""))</f>
        <v>0</v>
      </c>
    </row>
    <row r="5" spans="1:18" ht="20" customHeight="1" thickBot="1" x14ac:dyDescent="0.25">
      <c r="A5" s="35" t="s">
        <v>71</v>
      </c>
      <c r="B5" s="60">
        <f>VLOOKUP(B2,Caldat!$W$2:$Y$38,2,FALSE)</f>
        <v>10</v>
      </c>
      <c r="D5" s="168"/>
      <c r="E5" s="96">
        <v>1</v>
      </c>
      <c r="F5" s="58" t="s">
        <v>22</v>
      </c>
      <c r="G5" s="59">
        <f>HLOOKUP($B$2,Caldat!$AC$1:$AT$8,ROW(F5),FALSE)</f>
        <v>36.61036</v>
      </c>
      <c r="H5" s="68">
        <f>VLOOKUP($B$2,Caldat!J$2:L$34,2,FALSE)</f>
        <v>0</v>
      </c>
      <c r="I5" s="39"/>
      <c r="J5" s="39"/>
      <c r="K5" s="39"/>
      <c r="L5" s="48" t="s">
        <v>26</v>
      </c>
      <c r="M5" s="62">
        <f ca="1">INTERCEPT(INDIRECT("H"&amp;(MATCH(1,E2:E8,0)+1)&amp;":H"&amp;(MATCH(1,E2:E8,1)+1)&amp;""),INDIRECT("G"&amp;(MATCH(1,E2:E8,0)+1)&amp;":G"&amp;(MATCH(1,E2:E8,1)+1)&amp;""))</f>
        <v>0</v>
      </c>
      <c r="N5" s="39"/>
      <c r="O5" s="39"/>
      <c r="P5" s="39"/>
      <c r="Q5" s="48" t="s">
        <v>26</v>
      </c>
      <c r="R5" s="62">
        <f ca="1">INTERCEPT(INDIRECT("H"&amp;(MATCH(2,E2:E8,0)+1)&amp;":H"&amp;(MATCH(2,E2:E8,1)+1)&amp;""),INDIRECT("G"&amp;(MATCH(2,E2:E8,0)+1)&amp;":G"&amp;(MATCH(2,E2:E8,1)+1)&amp;""))</f>
        <v>0</v>
      </c>
    </row>
    <row r="6" spans="1:18" ht="20" customHeight="1" thickBot="1" x14ac:dyDescent="0.25">
      <c r="A6" s="36" t="s">
        <v>72</v>
      </c>
      <c r="B6" s="61">
        <f>ROUND(B5/3,2)</f>
        <v>3.33</v>
      </c>
      <c r="D6" s="163" t="s">
        <v>80</v>
      </c>
      <c r="E6" s="97">
        <v>2</v>
      </c>
      <c r="F6" s="53" t="s">
        <v>23</v>
      </c>
      <c r="G6" s="54">
        <f>HLOOKUP($B$2,Caldat!$AC$1:$AT$8,ROW(F6),FALSE)</f>
        <v>73.501310000000004</v>
      </c>
      <c r="H6" s="67">
        <f>VLOOKUP($B$2,Caldat!M$2:O$36,2,FALSE)</f>
        <v>0</v>
      </c>
      <c r="I6" s="39"/>
      <c r="J6" s="39"/>
      <c r="K6" s="39"/>
      <c r="L6" s="63" t="s">
        <v>78</v>
      </c>
      <c r="M6" s="64" t="e">
        <f ca="1">RSQ(INDIRECT("H"&amp;(MATCH(1,E2:E8,0)+1)&amp;":H"&amp;(MATCH(1,E2:E8,1)+1)&amp;""),INDIRECT("G"&amp;(MATCH(1,E2:E8,0)+1)&amp;":G"&amp;(MATCH(1,E2:E8,1)+1)&amp;""))</f>
        <v>#DIV/0!</v>
      </c>
      <c r="N6" s="41"/>
      <c r="O6" s="39"/>
      <c r="P6" s="39"/>
      <c r="Q6" s="63" t="s">
        <v>78</v>
      </c>
      <c r="R6" s="64" t="e">
        <f ca="1">RSQ(INDIRECT("H"&amp;(MATCH(2,E2:E8,0)+1)&amp;":H"&amp;(MATCH(2,E2:E8,1)+1)&amp;""),INDIRECT("G"&amp;(MATCH(2,E2:E8,0)+1)&amp;":G"&amp;(MATCH(2,E2:E8,1)+1)&amp;""))</f>
        <v>#DIV/0!</v>
      </c>
    </row>
    <row r="7" spans="1:18" ht="20" customHeight="1" thickBot="1" x14ac:dyDescent="0.25">
      <c r="D7" s="164"/>
      <c r="E7" s="98">
        <v>2</v>
      </c>
      <c r="F7" s="53" t="s">
        <v>24</v>
      </c>
      <c r="G7" s="54">
        <f>HLOOKUP($B$2,Caldat!$AC$1:$AT$8,ROW(F7),FALSE)</f>
        <v>108.889</v>
      </c>
      <c r="H7" s="67">
        <f>VLOOKUP($B$2,Caldat!P$2:R$32,2,FALSE)</f>
        <v>0</v>
      </c>
      <c r="I7" s="39"/>
      <c r="J7" s="39"/>
      <c r="K7" s="39"/>
      <c r="L7" s="65" t="s">
        <v>27</v>
      </c>
      <c r="M7" s="84" t="str">
        <f ca="1">IFERROR((M3-M5)/M4,"—")</f>
        <v>—</v>
      </c>
      <c r="N7" s="33"/>
      <c r="O7" s="33"/>
      <c r="P7" s="33"/>
      <c r="Q7" s="65" t="s">
        <v>27</v>
      </c>
      <c r="R7" s="84" t="str">
        <f ca="1">IFERROR((R3-R5)/R4,"—")</f>
        <v>—</v>
      </c>
    </row>
    <row r="8" spans="1:18" ht="20" customHeight="1" thickBot="1" x14ac:dyDescent="0.25">
      <c r="D8" s="165"/>
      <c r="E8" s="99">
        <v>2</v>
      </c>
      <c r="F8" s="55" t="s">
        <v>25</v>
      </c>
      <c r="G8" s="74">
        <f>HLOOKUP($B$2,Caldat!$AC$1:$AT$8,ROW(F8),FALSE)</f>
        <v>145.30529999999999</v>
      </c>
      <c r="H8" s="75">
        <f>VLOOKUP($B$2,Caldat!S$2:U$29,2,FALSE)</f>
        <v>0</v>
      </c>
      <c r="I8" s="39"/>
      <c r="J8" s="39"/>
      <c r="K8" s="39"/>
      <c r="M8" s="33"/>
      <c r="O8" s="33"/>
      <c r="P8" s="33"/>
      <c r="Q8" s="33"/>
      <c r="R8" s="33"/>
    </row>
  </sheetData>
  <mergeCells count="3">
    <mergeCell ref="A1:A2"/>
    <mergeCell ref="D6:D8"/>
    <mergeCell ref="D3:D5"/>
  </mergeCells>
  <pageMargins left="0.7" right="0.7" top="0.75" bottom="0.75" header="0.3" footer="0.3"/>
  <pageSetup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1D331-30D6-694D-92C7-C42C9FD1E877}">
  <dimension ref="A1:R8"/>
  <sheetViews>
    <sheetView topLeftCell="I1" zoomScale="150" zoomScaleNormal="150" workbookViewId="0">
      <selection activeCell="M7" sqref="M7"/>
    </sheetView>
  </sheetViews>
  <sheetFormatPr baseColWidth="10" defaultColWidth="8.83203125" defaultRowHeight="15" x14ac:dyDescent="0.2"/>
  <cols>
    <col min="1" max="1" width="21.83203125" customWidth="1"/>
    <col min="2" max="2" width="13.1640625" customWidth="1"/>
    <col min="3" max="4" width="2.83203125" customWidth="1"/>
    <col min="5" max="5" width="7.6640625" style="100" hidden="1" customWidth="1"/>
    <col min="6" max="8" width="10.83203125" style="6" customWidth="1"/>
    <col min="9" max="9" width="15.33203125" customWidth="1"/>
    <col min="10" max="10" width="2.83203125" customWidth="1"/>
    <col min="12" max="12" width="22.83203125" bestFit="1" customWidth="1"/>
    <col min="13" max="14" width="8.83203125" style="20"/>
    <col min="15" max="15" width="2.83203125" style="20" customWidth="1"/>
    <col min="16" max="16" width="8.83203125" style="20"/>
    <col min="17" max="17" width="22.83203125" style="20" bestFit="1" customWidth="1"/>
    <col min="18" max="18" width="8.83203125" style="20"/>
  </cols>
  <sheetData>
    <row r="1" spans="1:18" ht="20" customHeight="1" thickBot="1" x14ac:dyDescent="0.25">
      <c r="A1" s="161" t="s">
        <v>32</v>
      </c>
      <c r="B1" s="42" t="s">
        <v>82</v>
      </c>
      <c r="C1" s="34"/>
      <c r="D1" s="34"/>
      <c r="E1" s="93" t="s">
        <v>85</v>
      </c>
      <c r="F1" s="37" t="s">
        <v>0</v>
      </c>
      <c r="G1" s="38" t="str">
        <f>""&amp;$B$2&amp;" ppm"</f>
        <v>Cr ppm</v>
      </c>
      <c r="H1" s="38" t="str">
        <f>""&amp;$B$2&amp;" Signal"</f>
        <v>Cr Signal</v>
      </c>
      <c r="I1" s="39"/>
      <c r="J1" s="39"/>
      <c r="K1" s="85" t="s">
        <v>29</v>
      </c>
      <c r="L1" s="47" t="s">
        <v>75</v>
      </c>
      <c r="M1" s="92" cm="1">
        <f t="array" aca="1" ref="M1" ca="1">INDIRECT("H"&amp;(MATCH(1,E2:E8,0)+1)&amp;"")</f>
        <v>0</v>
      </c>
      <c r="N1" s="39"/>
      <c r="O1" s="39"/>
      <c r="P1" s="40" t="s">
        <v>30</v>
      </c>
      <c r="Q1" s="47" t="s">
        <v>75</v>
      </c>
      <c r="R1" s="87" cm="1">
        <f t="array" aca="1" ref="R1" ca="1">INDIRECT("H"&amp;(MATCH(2,E2:E8,0)+1)&amp;"")</f>
        <v>0</v>
      </c>
    </row>
    <row r="2" spans="1:18" ht="20" customHeight="1" thickBot="1" x14ac:dyDescent="0.3">
      <c r="A2" s="162"/>
      <c r="B2" s="43" t="s">
        <v>4</v>
      </c>
      <c r="C2" s="31"/>
      <c r="D2" s="166" t="s">
        <v>79</v>
      </c>
      <c r="E2" s="94">
        <v>1</v>
      </c>
      <c r="F2" s="49" t="s">
        <v>19</v>
      </c>
      <c r="G2" s="50">
        <f>HLOOKUP($B$2,Caldat!$AC$1:$AT$8,ROW(F2),FALSE)</f>
        <v>6.4965000000000002</v>
      </c>
      <c r="H2" s="66">
        <f>IFERROR(VLOOKUP($B$2,Caldat!A$2:C$38,2,FALSE),0)</f>
        <v>0</v>
      </c>
      <c r="I2" s="39"/>
      <c r="J2" s="39"/>
      <c r="K2" s="39"/>
      <c r="L2" s="48" t="s">
        <v>76</v>
      </c>
      <c r="M2" s="86" cm="1">
        <f t="array" aca="1" ref="M2" ca="1">INDIRECT("H"&amp;(MATCH(1,E2:E8,1)+1)&amp;"")</f>
        <v>0</v>
      </c>
      <c r="N2" s="39"/>
      <c r="O2" s="39"/>
      <c r="P2" s="39"/>
      <c r="Q2" s="48" t="s">
        <v>76</v>
      </c>
      <c r="R2" s="86" cm="1">
        <f t="array" aca="1" ref="R2" ca="1">INDIRECT("H"&amp;(MATCH(2,E2:E8,1)+1)&amp;"")</f>
        <v>0</v>
      </c>
    </row>
    <row r="3" spans="1:18" ht="20" customHeight="1" x14ac:dyDescent="0.2">
      <c r="A3" s="35" t="s">
        <v>48</v>
      </c>
      <c r="B3" s="91" t="str">
        <f ca="1">IF(M7&lt;B5,"—",IF(M3&lt;M2,M7,IF(M3&lt;R1,((M3-M2)/(R1-M2))*R7+(1-((M3-M2)/(R1-M2)))*M7,R7)))</f>
        <v>—</v>
      </c>
      <c r="C3" s="32"/>
      <c r="D3" s="167"/>
      <c r="E3" s="95">
        <v>1</v>
      </c>
      <c r="F3" s="51" t="s">
        <v>20</v>
      </c>
      <c r="G3" s="52">
        <f>HLOOKUP($B$2,Caldat!$AC$1:$AT$8,ROW(F3),FALSE)</f>
        <v>16.568480000000001</v>
      </c>
      <c r="H3" s="67">
        <f>VLOOKUP($B$2,Caldat!D$2:F$38,2,FALSE)</f>
        <v>0</v>
      </c>
      <c r="I3" s="39"/>
      <c r="J3" s="39"/>
      <c r="K3" s="39"/>
      <c r="L3" s="47" t="s">
        <v>28</v>
      </c>
      <c r="M3" s="83" t="str">
        <f>IFERROR(VLOOKUP($B$2,Samdat!$A$4:$B$50,2,FALSE),"—")</f>
        <v>—</v>
      </c>
      <c r="N3" s="33"/>
      <c r="O3" s="33"/>
      <c r="P3" s="33"/>
      <c r="Q3" s="47" t="s">
        <v>28</v>
      </c>
      <c r="R3" s="83" t="str">
        <f>M3</f>
        <v>—</v>
      </c>
    </row>
    <row r="4" spans="1:18" ht="20" customHeight="1" thickBot="1" x14ac:dyDescent="0.25">
      <c r="A4" s="36" t="s">
        <v>49</v>
      </c>
      <c r="B4" s="61" t="str">
        <f ca="1">IF(M7&lt;B5,"Not Significant",IF(M3&lt;M1,"Low Signal",IF(M3&lt;M2,"In Range",IF(M3&lt;R2,"In Range",IF(M3&lt;&gt;"—","High Signal","No Signal")))))</f>
        <v>No Signal</v>
      </c>
      <c r="C4" s="31"/>
      <c r="D4" s="167"/>
      <c r="E4" s="95">
        <v>1</v>
      </c>
      <c r="F4" s="51" t="s">
        <v>21</v>
      </c>
      <c r="G4" s="52">
        <f>HLOOKUP($B$2,Caldat!$AC$1:$AT$8,ROW(F4),FALSE)</f>
        <v>24.859559999999998</v>
      </c>
      <c r="H4" s="67">
        <f>VLOOKUP($B$2,Caldat!G$2:I$36,2,FALSE)</f>
        <v>0</v>
      </c>
      <c r="J4" s="39"/>
      <c r="K4" s="39"/>
      <c r="L4" s="48" t="s">
        <v>77</v>
      </c>
      <c r="M4" s="62">
        <f ca="1">SLOPE(INDIRECT("H"&amp;(MATCH(1,E2:E8,0)+1)&amp;":H"&amp;(MATCH(1,E2:E8,1)+1)&amp;""),INDIRECT("G"&amp;(MATCH(1,E2:E8,0)+1)&amp;":G"&amp;(MATCH(1,E2:E8,1)+1)&amp;""))</f>
        <v>0</v>
      </c>
      <c r="N4" s="39"/>
      <c r="O4" s="39"/>
      <c r="P4" s="39"/>
      <c r="Q4" s="48" t="s">
        <v>77</v>
      </c>
      <c r="R4" s="62">
        <f ca="1">SLOPE(INDIRECT("H"&amp;(MATCH(2,E2:E8,0)+1)&amp;":H"&amp;(MATCH(2,E2:E8,1)+1)&amp;""),INDIRECT("G"&amp;(MATCH(2,E2:E8,0)+1)&amp;":G"&amp;(MATCH(2,E2:E8,1)+1)&amp;""))</f>
        <v>0</v>
      </c>
    </row>
    <row r="5" spans="1:18" ht="20" customHeight="1" thickBot="1" x14ac:dyDescent="0.25">
      <c r="A5" s="35" t="s">
        <v>71</v>
      </c>
      <c r="B5" s="60">
        <f>VLOOKUP(B2,Caldat!$W$2:$Y$38,2,FALSE)</f>
        <v>8</v>
      </c>
      <c r="D5" s="168"/>
      <c r="E5" s="96">
        <v>1</v>
      </c>
      <c r="F5" s="58" t="s">
        <v>22</v>
      </c>
      <c r="G5" s="59">
        <f>HLOOKUP($B$2,Caldat!$AC$1:$AT$8,ROW(F5),FALSE)</f>
        <v>43.106859999999998</v>
      </c>
      <c r="H5" s="68">
        <f>VLOOKUP($B$2,Caldat!J$2:L$34,2,FALSE)</f>
        <v>0</v>
      </c>
      <c r="I5" s="39"/>
      <c r="J5" s="39"/>
      <c r="K5" s="39"/>
      <c r="L5" s="48" t="s">
        <v>26</v>
      </c>
      <c r="M5" s="62">
        <f ca="1">INTERCEPT(INDIRECT("H"&amp;(MATCH(1,E2:E8,0)+1)&amp;":H"&amp;(MATCH(1,E2:E8,1)+1)&amp;""),INDIRECT("G"&amp;(MATCH(1,E2:E8,0)+1)&amp;":G"&amp;(MATCH(1,E2:E8,1)+1)&amp;""))</f>
        <v>0</v>
      </c>
      <c r="N5" s="39"/>
      <c r="O5" s="39"/>
      <c r="P5" s="39"/>
      <c r="Q5" s="48" t="s">
        <v>26</v>
      </c>
      <c r="R5" s="62">
        <f ca="1">INTERCEPT(INDIRECT("H"&amp;(MATCH(2,E2:E8,0)+1)&amp;":H"&amp;(MATCH(2,E2:E8,1)+1)&amp;""),INDIRECT("G"&amp;(MATCH(2,E2:E8,0)+1)&amp;":G"&amp;(MATCH(2,E2:E8,1)+1)&amp;""))</f>
        <v>0</v>
      </c>
    </row>
    <row r="6" spans="1:18" ht="20" customHeight="1" thickBot="1" x14ac:dyDescent="0.25">
      <c r="A6" s="36" t="s">
        <v>72</v>
      </c>
      <c r="B6" s="61">
        <f>ROUND(B5/3,2)</f>
        <v>2.67</v>
      </c>
      <c r="D6" s="163" t="s">
        <v>80</v>
      </c>
      <c r="E6" s="97">
        <v>2</v>
      </c>
      <c r="F6" s="53" t="s">
        <v>23</v>
      </c>
      <c r="G6" s="54">
        <f>HLOOKUP($B$2,Caldat!$AC$1:$AT$8,ROW(F6),FALSE)</f>
        <v>79.997810000000001</v>
      </c>
      <c r="H6" s="67">
        <f>VLOOKUP($B$2,Caldat!M$2:O$36,2,FALSE)</f>
        <v>0</v>
      </c>
      <c r="I6" s="39"/>
      <c r="J6" s="39"/>
      <c r="K6" s="39"/>
      <c r="L6" s="63" t="s">
        <v>78</v>
      </c>
      <c r="M6" s="64" t="e">
        <f ca="1">RSQ(INDIRECT("H"&amp;(MATCH(1,E2:E8,0)+1)&amp;":H"&amp;(MATCH(1,E2:E8,1)+1)&amp;""),INDIRECT("G"&amp;(MATCH(1,E2:E8,0)+1)&amp;":G"&amp;(MATCH(1,E2:E8,1)+1)&amp;""))</f>
        <v>#DIV/0!</v>
      </c>
      <c r="N6" s="41"/>
      <c r="O6" s="39"/>
      <c r="P6" s="39"/>
      <c r="Q6" s="63" t="s">
        <v>78</v>
      </c>
      <c r="R6" s="64" t="e">
        <f ca="1">RSQ(INDIRECT("H"&amp;(MATCH(2,E2:E8,0)+1)&amp;":H"&amp;(MATCH(2,E2:E8,1)+1)&amp;""),INDIRECT("G"&amp;(MATCH(2,E2:E8,0)+1)&amp;":G"&amp;(MATCH(2,E2:E8,1)+1)&amp;""))</f>
        <v>#DIV/0!</v>
      </c>
    </row>
    <row r="7" spans="1:18" ht="20" customHeight="1" thickBot="1" x14ac:dyDescent="0.25">
      <c r="D7" s="164"/>
      <c r="E7" s="98">
        <v>2</v>
      </c>
      <c r="F7" s="53" t="s">
        <v>24</v>
      </c>
      <c r="G7" s="54">
        <f>HLOOKUP($B$2,Caldat!$AC$1:$AT$8,ROW(F7),FALSE)</f>
        <v>115.38549999999999</v>
      </c>
      <c r="H7" s="67">
        <f>VLOOKUP($B$2,Caldat!P$2:R$32,2,FALSE)</f>
        <v>0</v>
      </c>
      <c r="I7" s="39"/>
      <c r="J7" s="39"/>
      <c r="K7" s="39"/>
      <c r="L7" s="65" t="s">
        <v>27</v>
      </c>
      <c r="M7" s="84" t="str">
        <f ca="1">IFERROR((M3-M5)/M4,"—")</f>
        <v>—</v>
      </c>
      <c r="N7" s="33"/>
      <c r="O7" s="33"/>
      <c r="P7" s="33"/>
      <c r="Q7" s="65" t="s">
        <v>27</v>
      </c>
      <c r="R7" s="84" t="str">
        <f ca="1">IFERROR((R3-R5)/R4,"—")</f>
        <v>—</v>
      </c>
    </row>
    <row r="8" spans="1:18" ht="20" customHeight="1" thickBot="1" x14ac:dyDescent="0.25">
      <c r="D8" s="165"/>
      <c r="E8" s="99">
        <v>2</v>
      </c>
      <c r="F8" s="55" t="s">
        <v>25</v>
      </c>
      <c r="G8" s="89">
        <f>HLOOKUP($B$2,Caldat!$AC$1:$AT$8,ROW(F8),FALSE)</f>
        <v>151.80179999999999</v>
      </c>
      <c r="H8" s="90">
        <f>VLOOKUP($B$2,Caldat!S$2:U$29,2,FALSE)</f>
        <v>0</v>
      </c>
      <c r="I8" s="39"/>
      <c r="J8" s="39"/>
      <c r="K8" s="39"/>
      <c r="M8" s="33"/>
      <c r="O8" s="33"/>
      <c r="P8" s="33"/>
      <c r="Q8" s="33"/>
      <c r="R8" s="33"/>
    </row>
  </sheetData>
  <mergeCells count="3">
    <mergeCell ref="A1:A2"/>
    <mergeCell ref="D6:D8"/>
    <mergeCell ref="D2:D5"/>
  </mergeCells>
  <pageMargins left="0.7" right="0.7" top="0.75" bottom="0.75" header="0.3" footer="0.3"/>
  <pageSetup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76CB5-FAC7-1945-8BCF-8C9EEF774661}">
  <dimension ref="A1:R8"/>
  <sheetViews>
    <sheetView zoomScale="150" zoomScaleNormal="150" workbookViewId="0">
      <selection activeCell="B3" sqref="B3:B4"/>
    </sheetView>
  </sheetViews>
  <sheetFormatPr baseColWidth="10" defaultColWidth="8.83203125" defaultRowHeight="15" x14ac:dyDescent="0.2"/>
  <cols>
    <col min="1" max="1" width="21.83203125" customWidth="1"/>
    <col min="2" max="2" width="13.1640625" customWidth="1"/>
    <col min="3" max="4" width="2.83203125" customWidth="1"/>
    <col min="5" max="5" width="7.6640625" style="100" hidden="1" customWidth="1"/>
    <col min="6" max="8" width="10.83203125" style="6" customWidth="1"/>
    <col min="9" max="9" width="15.33203125" customWidth="1"/>
    <col min="10" max="10" width="2.83203125" customWidth="1"/>
    <col min="12" max="12" width="22.83203125" bestFit="1" customWidth="1"/>
    <col min="13" max="14" width="8.83203125" style="20"/>
    <col min="15" max="15" width="2.83203125" style="20" customWidth="1"/>
    <col min="16" max="16" width="8.83203125" style="20"/>
    <col min="17" max="17" width="22.83203125" style="20" bestFit="1" customWidth="1"/>
    <col min="18" max="18" width="8.83203125" style="20"/>
  </cols>
  <sheetData>
    <row r="1" spans="1:18" ht="20" customHeight="1" thickBot="1" x14ac:dyDescent="0.25">
      <c r="A1" s="161" t="s">
        <v>32</v>
      </c>
      <c r="B1" s="42" t="s">
        <v>83</v>
      </c>
      <c r="C1" s="34"/>
      <c r="D1" s="34"/>
      <c r="E1" s="93" t="s">
        <v>85</v>
      </c>
      <c r="F1" s="37" t="s">
        <v>0</v>
      </c>
      <c r="G1" s="38" t="str">
        <f>""&amp;$B$2&amp;" ppm"</f>
        <v>Mn ppm</v>
      </c>
      <c r="H1" s="38" t="str">
        <f>""&amp;$B$2&amp;" Signal"</f>
        <v>Mn Signal</v>
      </c>
      <c r="I1" s="39"/>
      <c r="J1" s="39"/>
      <c r="K1" s="85" t="s">
        <v>29</v>
      </c>
      <c r="L1" s="47" t="s">
        <v>75</v>
      </c>
      <c r="M1" s="92" cm="1">
        <f t="array" aca="1" ref="M1" ca="1">INDIRECT("H"&amp;(MATCH(1,E2:E8,0)+1)&amp;"")</f>
        <v>0</v>
      </c>
      <c r="N1" s="39"/>
      <c r="O1" s="39"/>
      <c r="P1" s="40" t="s">
        <v>30</v>
      </c>
      <c r="Q1" s="47" t="s">
        <v>75</v>
      </c>
      <c r="R1" s="87" cm="1">
        <f t="array" aca="1" ref="R1" ca="1">INDIRECT("H"&amp;(MATCH(2,E2:E8,0)+1)&amp;"")</f>
        <v>0</v>
      </c>
    </row>
    <row r="2" spans="1:18" ht="20" customHeight="1" thickBot="1" x14ac:dyDescent="0.3">
      <c r="A2" s="162"/>
      <c r="B2" s="43" t="s">
        <v>5</v>
      </c>
      <c r="C2" s="31"/>
      <c r="D2" s="79"/>
      <c r="E2" s="79"/>
      <c r="F2" s="80" t="s">
        <v>19</v>
      </c>
      <c r="G2" s="81">
        <f>HLOOKUP($B$2,Caldat!$AC$1:$AT$8,ROW(F2),FALSE)</f>
        <v>0</v>
      </c>
      <c r="H2" s="82">
        <f>IFERROR(VLOOKUP($B$2,Caldat!A$2:C$38,2,FALSE),0)</f>
        <v>0</v>
      </c>
      <c r="I2" s="39"/>
      <c r="J2" s="39"/>
      <c r="K2" s="39"/>
      <c r="L2" s="48" t="s">
        <v>76</v>
      </c>
      <c r="M2" s="86" cm="1">
        <f t="array" aca="1" ref="M2" ca="1">INDIRECT("H"&amp;(MATCH(1,E2:E8,1)+1)&amp;"")</f>
        <v>0</v>
      </c>
      <c r="N2" s="39"/>
      <c r="O2" s="39"/>
      <c r="P2" s="39"/>
      <c r="Q2" s="48" t="s">
        <v>76</v>
      </c>
      <c r="R2" s="86" cm="1">
        <f t="array" aca="1" ref="R2" ca="1">INDIRECT("H"&amp;(MATCH(2,E2:E8,1)+1)&amp;"")</f>
        <v>0</v>
      </c>
    </row>
    <row r="3" spans="1:18" ht="20" customHeight="1" x14ac:dyDescent="0.2">
      <c r="A3" s="35" t="s">
        <v>48</v>
      </c>
      <c r="B3" s="91" t="str">
        <f ca="1">IF(M7&lt;B5,"—",IF(M3&lt;M2,M7,IF(M3&lt;R1,((M3-M2)/(R1-M2))*R7+(1-((M3-M2)/(R1-M2)))*M7,R7)))</f>
        <v>—</v>
      </c>
      <c r="C3" s="32"/>
      <c r="D3" s="167" t="s">
        <v>79</v>
      </c>
      <c r="E3" s="95">
        <v>1</v>
      </c>
      <c r="F3" s="76" t="s">
        <v>20</v>
      </c>
      <c r="G3" s="77">
        <f>HLOOKUP($B$2,Caldat!$AC$1:$AT$8,ROW(F3),FALSE)</f>
        <v>10.07198</v>
      </c>
      <c r="H3" s="78">
        <f>VLOOKUP($B$2,Caldat!D$2:F$38,2,FALSE)</f>
        <v>0</v>
      </c>
      <c r="I3" s="39"/>
      <c r="J3" s="39"/>
      <c r="K3" s="39"/>
      <c r="L3" s="47" t="s">
        <v>28</v>
      </c>
      <c r="M3" s="83" t="str">
        <f>IFERROR(VLOOKUP($B$2,Samdat!$A$4:$B$50,2,FALSE),"—")</f>
        <v>—</v>
      </c>
      <c r="N3" s="33"/>
      <c r="O3" s="33"/>
      <c r="P3" s="33"/>
      <c r="Q3" s="47" t="s">
        <v>28</v>
      </c>
      <c r="R3" s="83" t="str">
        <f>M3</f>
        <v>—</v>
      </c>
    </row>
    <row r="4" spans="1:18" ht="20" customHeight="1" thickBot="1" x14ac:dyDescent="0.25">
      <c r="A4" s="36" t="s">
        <v>49</v>
      </c>
      <c r="B4" s="61" t="str">
        <f ca="1">IF(M7&lt;B5,"Not Significant",IF(M3&lt;M1,"Low Signal",IF(M3&lt;M2,"In Range",IF(M3&lt;R2,"In Range",IF(M3&lt;&gt;"—","High Signal","No Signal")))))</f>
        <v>No Signal</v>
      </c>
      <c r="C4" s="31"/>
      <c r="D4" s="167"/>
      <c r="E4" s="95">
        <v>1</v>
      </c>
      <c r="F4" s="51" t="s">
        <v>21</v>
      </c>
      <c r="G4" s="52">
        <f>HLOOKUP($B$2,Caldat!$AC$1:$AT$8,ROW(F4),FALSE)</f>
        <v>18.363060000000001</v>
      </c>
      <c r="H4" s="67">
        <f>VLOOKUP($B$2,Caldat!G$2:I$36,2,FALSE)</f>
        <v>0</v>
      </c>
      <c r="J4" s="39"/>
      <c r="K4" s="39"/>
      <c r="L4" s="48" t="s">
        <v>77</v>
      </c>
      <c r="M4" s="62">
        <f ca="1">SLOPE(INDIRECT("H"&amp;(MATCH(1,E2:E8,0)+1)&amp;":H"&amp;(MATCH(1,E2:E8,1)+1)&amp;""),INDIRECT("G"&amp;(MATCH(1,E2:E8,0)+1)&amp;":G"&amp;(MATCH(1,E2:E8,1)+1)&amp;""))</f>
        <v>0</v>
      </c>
      <c r="N4" s="39"/>
      <c r="O4" s="39"/>
      <c r="P4" s="39"/>
      <c r="Q4" s="48" t="s">
        <v>77</v>
      </c>
      <c r="R4" s="62">
        <f ca="1">SLOPE(INDIRECT("H"&amp;(MATCH(2,E2:E8,0)+1)&amp;":H"&amp;(MATCH(2,E2:E8,1)+1)&amp;""),INDIRECT("G"&amp;(MATCH(2,E2:E8,0)+1)&amp;":G"&amp;(MATCH(2,E2:E8,1)+1)&amp;""))</f>
        <v>0</v>
      </c>
    </row>
    <row r="5" spans="1:18" ht="20" customHeight="1" thickBot="1" x14ac:dyDescent="0.25">
      <c r="A5" s="35" t="s">
        <v>71</v>
      </c>
      <c r="B5" s="60">
        <f>VLOOKUP(B2,Caldat!$W$2:$Y$38,2,FALSE)</f>
        <v>6</v>
      </c>
      <c r="D5" s="168"/>
      <c r="E5" s="96">
        <v>1</v>
      </c>
      <c r="F5" s="58" t="s">
        <v>22</v>
      </c>
      <c r="G5" s="59">
        <f>HLOOKUP($B$2,Caldat!$AC$1:$AT$8,ROW(F5),FALSE)</f>
        <v>36.61036</v>
      </c>
      <c r="H5" s="68">
        <f>VLOOKUP($B$2,Caldat!J$2:L$34,2,FALSE)</f>
        <v>0</v>
      </c>
      <c r="I5" s="39"/>
      <c r="J5" s="39"/>
      <c r="K5" s="39"/>
      <c r="L5" s="48" t="s">
        <v>26</v>
      </c>
      <c r="M5" s="62">
        <f ca="1">INTERCEPT(INDIRECT("H"&amp;(MATCH(1,E2:E8,0)+1)&amp;":H"&amp;(MATCH(1,E2:E8,1)+1)&amp;""),INDIRECT("G"&amp;(MATCH(1,E2:E8,0)+1)&amp;":G"&amp;(MATCH(1,E2:E8,1)+1)&amp;""))</f>
        <v>0</v>
      </c>
      <c r="N5" s="39"/>
      <c r="O5" s="39"/>
      <c r="P5" s="39"/>
      <c r="Q5" s="48" t="s">
        <v>26</v>
      </c>
      <c r="R5" s="62">
        <f ca="1">INTERCEPT(INDIRECT("H"&amp;(MATCH(2,E2:E8,0)+1)&amp;":H"&amp;(MATCH(2,E2:E8,1)+1)&amp;""),INDIRECT("G"&amp;(MATCH(2,E2:E8,0)+1)&amp;":G"&amp;(MATCH(2,E2:E8,1)+1)&amp;""))</f>
        <v>0</v>
      </c>
    </row>
    <row r="6" spans="1:18" ht="20" customHeight="1" thickBot="1" x14ac:dyDescent="0.25">
      <c r="A6" s="36" t="s">
        <v>72</v>
      </c>
      <c r="B6" s="61">
        <f>ROUND(B5/3,2)</f>
        <v>2</v>
      </c>
      <c r="D6" s="163" t="s">
        <v>80</v>
      </c>
      <c r="E6" s="97">
        <v>2</v>
      </c>
      <c r="F6" s="53" t="s">
        <v>23</v>
      </c>
      <c r="G6" s="54">
        <f>HLOOKUP($B$2,Caldat!$AC$1:$AT$8,ROW(F6),FALSE)</f>
        <v>73.501310000000004</v>
      </c>
      <c r="H6" s="67">
        <f>VLOOKUP($B$2,Caldat!M$2:O$36,2,FALSE)</f>
        <v>0</v>
      </c>
      <c r="I6" s="39"/>
      <c r="J6" s="39"/>
      <c r="K6" s="39"/>
      <c r="L6" s="63" t="s">
        <v>78</v>
      </c>
      <c r="M6" s="64" t="e">
        <f ca="1">RSQ(INDIRECT("H"&amp;(MATCH(1,E2:E8,0)+1)&amp;":H"&amp;(MATCH(1,E2:E8,1)+1)&amp;""),INDIRECT("G"&amp;(MATCH(1,E2:E8,0)+1)&amp;":G"&amp;(MATCH(1,E2:E8,1)+1)&amp;""))</f>
        <v>#DIV/0!</v>
      </c>
      <c r="N6" s="41"/>
      <c r="O6" s="39"/>
      <c r="P6" s="39"/>
      <c r="Q6" s="63" t="s">
        <v>78</v>
      </c>
      <c r="R6" s="64" t="e">
        <f ca="1">RSQ(INDIRECT("H"&amp;(MATCH(2,E2:E8,0)+1)&amp;":H"&amp;(MATCH(2,E2:E8,1)+1)&amp;""),INDIRECT("G"&amp;(MATCH(2,E2:E8,0)+1)&amp;":G"&amp;(MATCH(2,E2:E8,1)+1)&amp;""))</f>
        <v>#DIV/0!</v>
      </c>
    </row>
    <row r="7" spans="1:18" ht="20" customHeight="1" thickBot="1" x14ac:dyDescent="0.25">
      <c r="D7" s="164"/>
      <c r="E7" s="98">
        <v>2</v>
      </c>
      <c r="F7" s="53" t="s">
        <v>24</v>
      </c>
      <c r="G7" s="54">
        <f>HLOOKUP($B$2,Caldat!$AC$1:$AT$8,ROW(F7),FALSE)</f>
        <v>108.889</v>
      </c>
      <c r="H7" s="67">
        <f>VLOOKUP($B$2,Caldat!P$2:R$32,2,FALSE)</f>
        <v>0</v>
      </c>
      <c r="I7" s="39"/>
      <c r="J7" s="39"/>
      <c r="K7" s="39"/>
      <c r="L7" s="65" t="s">
        <v>27</v>
      </c>
      <c r="M7" s="84" t="str">
        <f ca="1">IFERROR((M3-M5)/M4,"—")</f>
        <v>—</v>
      </c>
      <c r="N7" s="33"/>
      <c r="O7" s="33"/>
      <c r="P7" s="33"/>
      <c r="Q7" s="65" t="s">
        <v>27</v>
      </c>
      <c r="R7" s="84" t="str">
        <f ca="1">IFERROR((R3-R5)/R4,"—")</f>
        <v>—</v>
      </c>
    </row>
    <row r="8" spans="1:18" ht="20" customHeight="1" thickBot="1" x14ac:dyDescent="0.25">
      <c r="D8" s="165"/>
      <c r="E8" s="99">
        <v>2</v>
      </c>
      <c r="F8" s="55" t="s">
        <v>25</v>
      </c>
      <c r="G8" s="89">
        <f>HLOOKUP($B$2,Caldat!$AC$1:$AT$8,ROW(F8),FALSE)</f>
        <v>145.30529999999999</v>
      </c>
      <c r="H8" s="90">
        <f>VLOOKUP($B$2,Caldat!S$2:U$29,2,FALSE)</f>
        <v>0</v>
      </c>
      <c r="I8" s="39"/>
      <c r="J8" s="39"/>
      <c r="K8" s="39"/>
      <c r="M8" s="33"/>
      <c r="O8" s="33"/>
      <c r="P8" s="33"/>
      <c r="Q8" s="33"/>
      <c r="R8" s="33"/>
    </row>
  </sheetData>
  <mergeCells count="3">
    <mergeCell ref="A1:A2"/>
    <mergeCell ref="D6:D8"/>
    <mergeCell ref="D3:D5"/>
  </mergeCells>
  <pageMargins left="0.7" right="0.7" top="0.75" bottom="0.75" header="0.3" footer="0.3"/>
  <pageSetup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39ED6-45F0-FD4B-835F-615943FF3C6A}">
  <dimension ref="A1:R8"/>
  <sheetViews>
    <sheetView zoomScale="150" zoomScaleNormal="150" workbookViewId="0">
      <selection activeCell="I6" sqref="I6"/>
    </sheetView>
  </sheetViews>
  <sheetFormatPr baseColWidth="10" defaultColWidth="8.83203125" defaultRowHeight="15" x14ac:dyDescent="0.2"/>
  <cols>
    <col min="1" max="1" width="21.83203125" customWidth="1"/>
    <col min="2" max="2" width="13.1640625" customWidth="1"/>
    <col min="3" max="4" width="2.83203125" customWidth="1"/>
    <col min="5" max="5" width="7.6640625" style="100" hidden="1" customWidth="1"/>
    <col min="6" max="8" width="10.83203125" style="6" customWidth="1"/>
    <col min="9" max="9" width="15.33203125" customWidth="1"/>
    <col min="10" max="10" width="2.83203125" customWidth="1"/>
    <col min="12" max="12" width="22.83203125" bestFit="1" customWidth="1"/>
    <col min="13" max="14" width="8.83203125" style="20"/>
    <col min="15" max="15" width="2.83203125" style="20" customWidth="1"/>
    <col min="16" max="16" width="8.83203125" style="20"/>
    <col min="17" max="17" width="22.83203125" style="20" bestFit="1" customWidth="1"/>
    <col min="18" max="18" width="8.83203125" style="20"/>
  </cols>
  <sheetData>
    <row r="1" spans="1:18" ht="20" customHeight="1" thickBot="1" x14ac:dyDescent="0.25">
      <c r="A1" s="161" t="s">
        <v>32</v>
      </c>
      <c r="B1" s="42" t="s">
        <v>84</v>
      </c>
      <c r="C1" s="34"/>
      <c r="D1" s="34"/>
      <c r="E1" s="93" t="s">
        <v>85</v>
      </c>
      <c r="F1" s="37" t="s">
        <v>0</v>
      </c>
      <c r="G1" s="38" t="str">
        <f>""&amp;$B$2&amp;" ppm"</f>
        <v>Fe ppm</v>
      </c>
      <c r="H1" s="38" t="str">
        <f>""&amp;$B$2&amp;" Signal"</f>
        <v>Fe Signal</v>
      </c>
      <c r="I1" s="39"/>
      <c r="J1" s="39"/>
      <c r="K1" s="85" t="s">
        <v>29</v>
      </c>
      <c r="L1" s="47" t="s">
        <v>75</v>
      </c>
      <c r="M1" s="92" cm="1">
        <f t="array" aca="1" ref="M1" ca="1">INDIRECT("H"&amp;(MATCH(1,E2:E8,0)+1)&amp;"")</f>
        <v>0</v>
      </c>
      <c r="N1" s="39"/>
      <c r="O1" s="39"/>
      <c r="P1" s="40" t="s">
        <v>30</v>
      </c>
      <c r="Q1" s="47" t="s">
        <v>75</v>
      </c>
      <c r="R1" s="87" cm="1">
        <f t="array" aca="1" ref="R1" ca="1">INDIRECT("H"&amp;(MATCH(2,E2:E8,0)+1)&amp;"")</f>
        <v>0</v>
      </c>
    </row>
    <row r="2" spans="1:18" ht="20" customHeight="1" thickBot="1" x14ac:dyDescent="0.3">
      <c r="A2" s="162"/>
      <c r="B2" s="43" t="s">
        <v>6</v>
      </c>
      <c r="C2" s="31"/>
      <c r="D2" s="166" t="s">
        <v>79</v>
      </c>
      <c r="E2" s="94">
        <v>1</v>
      </c>
      <c r="F2" s="49" t="s">
        <v>19</v>
      </c>
      <c r="G2" s="50">
        <f>HLOOKUP($B$2,Caldat!$AC$1:$AT$8,ROW(F2),FALSE)</f>
        <v>34.79</v>
      </c>
      <c r="H2" s="66">
        <f>IFERROR(VLOOKUP($B$2,Caldat!A$2:C$38,2,FALSE),0)</f>
        <v>0</v>
      </c>
      <c r="I2" s="39"/>
      <c r="J2" s="39"/>
      <c r="K2" s="39"/>
      <c r="L2" s="48" t="s">
        <v>76</v>
      </c>
      <c r="M2" s="86" cm="1">
        <f t="array" aca="1" ref="M2" ca="1">INDIRECT("H"&amp;(MATCH(1,E2:E8,1)+1)&amp;"")</f>
        <v>0</v>
      </c>
      <c r="N2" s="39"/>
      <c r="O2" s="39"/>
      <c r="P2" s="39"/>
      <c r="Q2" s="48" t="s">
        <v>76</v>
      </c>
      <c r="R2" s="86" cm="1">
        <f t="array" aca="1" ref="R2" ca="1">INDIRECT("H"&amp;(MATCH(2,E2:E8,1)+1)&amp;"")</f>
        <v>0</v>
      </c>
    </row>
    <row r="3" spans="1:18" ht="20" customHeight="1" x14ac:dyDescent="0.2">
      <c r="A3" s="35" t="s">
        <v>48</v>
      </c>
      <c r="B3" s="91" t="str">
        <f ca="1">IF(M7&lt;B5,"—",IF(M3&lt;M2,M7,IF(M3&lt;R1,((M3-M2)/(R1-M2))*R7+(1-((M3-M2)/(R1-M2)))*M7,R7)))</f>
        <v>—</v>
      </c>
      <c r="C3" s="32"/>
      <c r="D3" s="167"/>
      <c r="E3" s="95">
        <v>1</v>
      </c>
      <c r="F3" s="51" t="s">
        <v>20</v>
      </c>
      <c r="G3" s="52">
        <f>HLOOKUP($B$2,Caldat!$AC$1:$AT$8,ROW(F3),FALSE)</f>
        <v>135.50980000000001</v>
      </c>
      <c r="H3" s="67">
        <f>VLOOKUP($B$2,Caldat!D$2:F$38,2,FALSE)</f>
        <v>0</v>
      </c>
      <c r="I3" s="39"/>
      <c r="J3" s="39"/>
      <c r="K3" s="39"/>
      <c r="L3" s="47" t="s">
        <v>28</v>
      </c>
      <c r="M3" s="83" t="str">
        <f>IFERROR(VLOOKUP($B$2,Samdat!$A$4:$B$50,2,FALSE),"—")</f>
        <v>—</v>
      </c>
      <c r="N3" s="33"/>
      <c r="O3" s="33"/>
      <c r="P3" s="33"/>
      <c r="Q3" s="47" t="s">
        <v>28</v>
      </c>
      <c r="R3" s="83" t="str">
        <f>M3</f>
        <v>—</v>
      </c>
    </row>
    <row r="4" spans="1:18" ht="20" customHeight="1" thickBot="1" x14ac:dyDescent="0.25">
      <c r="A4" s="36" t="s">
        <v>49</v>
      </c>
      <c r="B4" s="61" t="str">
        <f ca="1">IF(M7&lt;B5,"Not Significant",IF(M3&lt;M1,"Low Signal",IF(M3&lt;M2,"In Range",IF(M3&lt;R2,"In Range",IF(M3&lt;&gt;"—","High Signal","No Signal")))))</f>
        <v>No Signal</v>
      </c>
      <c r="C4" s="31"/>
      <c r="D4" s="167"/>
      <c r="E4" s="95">
        <v>1</v>
      </c>
      <c r="F4" s="51" t="s">
        <v>21</v>
      </c>
      <c r="G4" s="52">
        <f>HLOOKUP($B$2,Caldat!$AC$1:$AT$8,ROW(F4),FALSE)</f>
        <v>218.42060000000001</v>
      </c>
      <c r="H4" s="67">
        <f>VLOOKUP($B$2,Caldat!G$2:I$36,2,FALSE)</f>
        <v>0</v>
      </c>
      <c r="J4" s="39"/>
      <c r="K4" s="39"/>
      <c r="L4" s="48" t="s">
        <v>77</v>
      </c>
      <c r="M4" s="62">
        <f ca="1">SLOPE(INDIRECT("H"&amp;(MATCH(1,E2:E8,0)+1)&amp;":H"&amp;(MATCH(1,E2:E8,1)+1)&amp;""),INDIRECT("G"&amp;(MATCH(1,E2:E8,0)+1)&amp;":G"&amp;(MATCH(1,E2:E8,1)+1)&amp;""))</f>
        <v>0</v>
      </c>
      <c r="N4" s="39"/>
      <c r="O4" s="39"/>
      <c r="P4" s="39"/>
      <c r="Q4" s="48" t="s">
        <v>77</v>
      </c>
      <c r="R4" s="62">
        <f ca="1">SLOPE(INDIRECT("H"&amp;(MATCH(2,E2:E8,0)+1)&amp;":H"&amp;(MATCH(2,E2:E8,1)+1)&amp;""),INDIRECT("G"&amp;(MATCH(2,E2:E8,0)+1)&amp;":G"&amp;(MATCH(2,E2:E8,1)+1)&amp;""))</f>
        <v>0</v>
      </c>
    </row>
    <row r="5" spans="1:18" ht="20" customHeight="1" thickBot="1" x14ac:dyDescent="0.25">
      <c r="A5" s="35" t="s">
        <v>71</v>
      </c>
      <c r="B5" s="60">
        <f>VLOOKUP(B2,Caldat!$W$2:$Y$38,2,FALSE)</f>
        <v>5</v>
      </c>
      <c r="D5" s="168"/>
      <c r="E5" s="96">
        <v>1</v>
      </c>
      <c r="F5" s="58" t="s">
        <v>22</v>
      </c>
      <c r="G5" s="59">
        <f>HLOOKUP($B$2,Caldat!$AC$1:$AT$8,ROW(F5),FALSE)</f>
        <v>400.89359999999999</v>
      </c>
      <c r="H5" s="68">
        <f>VLOOKUP($B$2,Caldat!J$2:L$34,2,FALSE)</f>
        <v>0</v>
      </c>
      <c r="I5" s="39"/>
      <c r="J5" s="39"/>
      <c r="K5" s="39"/>
      <c r="L5" s="48" t="s">
        <v>26</v>
      </c>
      <c r="M5" s="62">
        <f ca="1">INTERCEPT(INDIRECT("H"&amp;(MATCH(1,E2:E8,0)+1)&amp;":H"&amp;(MATCH(1,E2:E8,1)+1)&amp;""),INDIRECT("G"&amp;(MATCH(1,E2:E8,0)+1)&amp;":G"&amp;(MATCH(1,E2:E8,1)+1)&amp;""))</f>
        <v>0</v>
      </c>
      <c r="N5" s="39"/>
      <c r="O5" s="39"/>
      <c r="P5" s="39"/>
      <c r="Q5" s="48" t="s">
        <v>26</v>
      </c>
      <c r="R5" s="62">
        <f ca="1">INTERCEPT(INDIRECT("H"&amp;(MATCH(2,E2:E8,0)+1)&amp;":H"&amp;(MATCH(2,E2:E8,1)+1)&amp;""),INDIRECT("G"&amp;(MATCH(2,E2:E8,0)+1)&amp;":G"&amp;(MATCH(2,E2:E8,1)+1)&amp;""))</f>
        <v>0</v>
      </c>
    </row>
    <row r="6" spans="1:18" ht="20" customHeight="1" thickBot="1" x14ac:dyDescent="0.25">
      <c r="A6" s="36" t="s">
        <v>72</v>
      </c>
      <c r="B6" s="61">
        <f>ROUND(B5/3,2)</f>
        <v>1.67</v>
      </c>
      <c r="D6" s="163" t="s">
        <v>80</v>
      </c>
      <c r="E6" s="97">
        <v>2</v>
      </c>
      <c r="F6" s="53" t="s">
        <v>23</v>
      </c>
      <c r="G6" s="54">
        <f>HLOOKUP($B$2,Caldat!$AC$1:$AT$8,ROW(F6),FALSE)</f>
        <v>769.80309999999997</v>
      </c>
      <c r="H6" s="67">
        <f>VLOOKUP($B$2,Caldat!M$2:O$36,2,FALSE)</f>
        <v>0</v>
      </c>
      <c r="I6" s="39"/>
      <c r="J6" s="39"/>
      <c r="K6" s="39"/>
      <c r="L6" s="63" t="s">
        <v>78</v>
      </c>
      <c r="M6" s="64" t="e">
        <f ca="1">RSQ(INDIRECT("H"&amp;(MATCH(1,E2:E8,0)+1)&amp;":H"&amp;(MATCH(1,E2:E8,1)+1)&amp;""),INDIRECT("G"&amp;(MATCH(1,E2:E8,0)+1)&amp;":G"&amp;(MATCH(1,E2:E8,1)+1)&amp;""))</f>
        <v>#DIV/0!</v>
      </c>
      <c r="N6" s="41"/>
      <c r="O6" s="39"/>
      <c r="P6" s="39"/>
      <c r="Q6" s="63" t="s">
        <v>78</v>
      </c>
      <c r="R6" s="64" t="e">
        <f ca="1">RSQ(INDIRECT("H"&amp;(MATCH(2,E2:E8,0)+1)&amp;":H"&amp;(MATCH(2,E2:E8,1)+1)&amp;""),INDIRECT("G"&amp;(MATCH(2,E2:E8,0)+1)&amp;":G"&amp;(MATCH(2,E2:E8,1)+1)&amp;""))</f>
        <v>#DIV/0!</v>
      </c>
    </row>
    <row r="7" spans="1:18" ht="20" customHeight="1" thickBot="1" x14ac:dyDescent="0.25">
      <c r="D7" s="164"/>
      <c r="E7" s="98">
        <v>2</v>
      </c>
      <c r="F7" s="53" t="s">
        <v>24</v>
      </c>
      <c r="G7" s="54">
        <f>HLOOKUP($B$2,Caldat!$AC$1:$AT$8,ROW(F7),FALSE)</f>
        <v>1123.68</v>
      </c>
      <c r="H7" s="67">
        <f>VLOOKUP($B$2,Caldat!P$2:R$32,2,FALSE)</f>
        <v>0</v>
      </c>
      <c r="I7" s="39"/>
      <c r="J7" s="39"/>
      <c r="K7" s="39"/>
      <c r="L7" s="65" t="s">
        <v>27</v>
      </c>
      <c r="M7" s="84" t="str">
        <f ca="1">IFERROR((M3-M5)/M4,"—")</f>
        <v>—</v>
      </c>
      <c r="N7" s="33"/>
      <c r="O7" s="33"/>
      <c r="P7" s="33"/>
      <c r="Q7" s="65" t="s">
        <v>27</v>
      </c>
      <c r="R7" s="84" t="str">
        <f ca="1">IFERROR((R3-R5)/R4,"—")</f>
        <v>—</v>
      </c>
    </row>
    <row r="8" spans="1:18" ht="20" customHeight="1" thickBot="1" x14ac:dyDescent="0.25">
      <c r="D8" s="165"/>
      <c r="E8" s="99">
        <v>2</v>
      </c>
      <c r="F8" s="55" t="s">
        <v>25</v>
      </c>
      <c r="G8" s="74">
        <f>HLOOKUP($B$2,Caldat!$AC$1:$AT$8,ROW(F8),FALSE)</f>
        <v>1487.8430000000001</v>
      </c>
      <c r="H8" s="75">
        <f>VLOOKUP($B$2,Caldat!S$2:U$29,2,FALSE)</f>
        <v>0</v>
      </c>
      <c r="I8" s="39"/>
      <c r="J8" s="39"/>
      <c r="K8" s="39"/>
      <c r="M8" s="33"/>
      <c r="O8" s="33"/>
      <c r="P8" s="33"/>
      <c r="Q8" s="33"/>
      <c r="R8" s="33"/>
    </row>
  </sheetData>
  <mergeCells count="3">
    <mergeCell ref="A1:A2"/>
    <mergeCell ref="D2:D5"/>
    <mergeCell ref="D6:D8"/>
  </mergeCells>
  <pageMargins left="0.7" right="0.7" top="0.75" bottom="0.75" header="0.3" footer="0.3"/>
  <pageSetup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74B8-A2C0-CC44-8B1C-094C4E9AC597}">
  <dimension ref="A1:R8"/>
  <sheetViews>
    <sheetView zoomScale="150" zoomScaleNormal="150" workbookViewId="0">
      <selection activeCell="B3" sqref="B3:B4"/>
    </sheetView>
  </sheetViews>
  <sheetFormatPr baseColWidth="10" defaultColWidth="8.83203125" defaultRowHeight="15" x14ac:dyDescent="0.2"/>
  <cols>
    <col min="1" max="1" width="21.83203125" customWidth="1"/>
    <col min="2" max="2" width="13.1640625" customWidth="1"/>
    <col min="3" max="4" width="2.83203125" customWidth="1"/>
    <col min="5" max="5" width="7.6640625" style="100" hidden="1" customWidth="1"/>
    <col min="6" max="8" width="10.83203125" style="6" customWidth="1"/>
    <col min="9" max="9" width="15.33203125" customWidth="1"/>
    <col min="10" max="10" width="2.83203125" customWidth="1"/>
    <col min="12" max="12" width="22.83203125" bestFit="1" customWidth="1"/>
    <col min="13" max="14" width="8.83203125" style="20"/>
    <col min="15" max="15" width="2.83203125" style="20" customWidth="1"/>
    <col min="16" max="16" width="8.83203125" style="20"/>
    <col min="17" max="17" width="22.83203125" style="20" bestFit="1" customWidth="1"/>
    <col min="18" max="18" width="8.83203125" style="20"/>
  </cols>
  <sheetData>
    <row r="1" spans="1:18" ht="20" customHeight="1" thickBot="1" x14ac:dyDescent="0.25">
      <c r="A1" s="161" t="s">
        <v>32</v>
      </c>
      <c r="B1" s="42" t="s">
        <v>86</v>
      </c>
      <c r="C1" s="34"/>
      <c r="D1" s="34"/>
      <c r="E1" s="93" t="s">
        <v>85</v>
      </c>
      <c r="F1" s="37" t="s">
        <v>0</v>
      </c>
      <c r="G1" s="38" t="str">
        <f>""&amp;$B$2&amp;" ppm"</f>
        <v>Co ppm</v>
      </c>
      <c r="H1" s="38" t="str">
        <f>""&amp;$B$2&amp;" Signal"</f>
        <v>Co Signal</v>
      </c>
      <c r="I1" s="39"/>
      <c r="J1" s="39"/>
      <c r="K1" s="85" t="s">
        <v>29</v>
      </c>
      <c r="L1" s="47" t="s">
        <v>75</v>
      </c>
      <c r="M1" s="92" cm="1">
        <f t="array" aca="1" ref="M1" ca="1">INDIRECT("H"&amp;(MATCH(1,E2:E8,0)+1)&amp;"")</f>
        <v>0</v>
      </c>
      <c r="N1" s="39"/>
      <c r="O1" s="39"/>
      <c r="P1" s="40" t="s">
        <v>30</v>
      </c>
      <c r="Q1" s="47" t="s">
        <v>75</v>
      </c>
      <c r="R1" s="87" cm="1">
        <f t="array" aca="1" ref="R1" ca="1">INDIRECT("H"&amp;(MATCH(2,E2:E8,0)+1)&amp;"")</f>
        <v>0</v>
      </c>
    </row>
    <row r="2" spans="1:18" ht="20" customHeight="1" thickBot="1" x14ac:dyDescent="0.3">
      <c r="A2" s="162"/>
      <c r="B2" s="43" t="s">
        <v>7</v>
      </c>
      <c r="C2" s="31"/>
      <c r="D2" s="79"/>
      <c r="E2" s="79"/>
      <c r="F2" s="80" t="s">
        <v>19</v>
      </c>
      <c r="G2" s="81">
        <f>HLOOKUP($B$2,Caldat!$AC$1:$AT$8,ROW(F2),FALSE)</f>
        <v>0</v>
      </c>
      <c r="H2" s="82">
        <f>IFERROR(VLOOKUP($B$2,Caldat!A$2:C$38,2,FALSE),0)</f>
        <v>0</v>
      </c>
      <c r="I2" s="39"/>
      <c r="J2" s="39"/>
      <c r="K2" s="39"/>
      <c r="L2" s="48" t="s">
        <v>76</v>
      </c>
      <c r="M2" s="86" cm="1">
        <f t="array" aca="1" ref="M2" ca="1">INDIRECT("H"&amp;(MATCH(1,E2:E8,1)+1)&amp;"")</f>
        <v>0</v>
      </c>
      <c r="N2" s="39"/>
      <c r="O2" s="39"/>
      <c r="P2" s="39"/>
      <c r="Q2" s="48" t="s">
        <v>76</v>
      </c>
      <c r="R2" s="86" cm="1">
        <f t="array" aca="1" ref="R2" ca="1">INDIRECT("H"&amp;(MATCH(2,E2:E8,1)+1)&amp;"")</f>
        <v>0</v>
      </c>
    </row>
    <row r="3" spans="1:18" ht="20" customHeight="1" x14ac:dyDescent="0.2">
      <c r="A3" s="35" t="s">
        <v>48</v>
      </c>
      <c r="B3" s="91" t="str">
        <f ca="1">IF(M7&lt;B5,"—",IF(M3&lt;M2,M7,IF(M3&lt;R1,((M3-M2)/(R1-M2))*R7+(1-((M3-M2)/(R1-M2)))*M7,R7)))</f>
        <v>—</v>
      </c>
      <c r="C3" s="32"/>
      <c r="D3" s="167" t="s">
        <v>79</v>
      </c>
      <c r="E3" s="95">
        <v>1</v>
      </c>
      <c r="F3" s="76" t="s">
        <v>20</v>
      </c>
      <c r="G3" s="101">
        <f>HLOOKUP($B$2,Caldat!$AC$1:$AT$8,ROW(F3),FALSE)</f>
        <v>10.071980699999999</v>
      </c>
      <c r="H3" s="102">
        <f>VLOOKUP($B$2,Caldat!D$2:F$38,2,FALSE)</f>
        <v>0</v>
      </c>
      <c r="I3" s="39"/>
      <c r="J3" s="39"/>
      <c r="K3" s="39"/>
      <c r="L3" s="47" t="s">
        <v>28</v>
      </c>
      <c r="M3" s="83" t="str">
        <f>IFERROR(VLOOKUP($B$2,Samdat!$A$4:$B$50,2,FALSE),"—")</f>
        <v>—</v>
      </c>
      <c r="N3" s="33"/>
      <c r="O3" s="33"/>
      <c r="P3" s="33"/>
      <c r="Q3" s="47" t="s">
        <v>28</v>
      </c>
      <c r="R3" s="83" t="str">
        <f>M3</f>
        <v>—</v>
      </c>
    </row>
    <row r="4" spans="1:18" ht="20" customHeight="1" thickBot="1" x14ac:dyDescent="0.25">
      <c r="A4" s="36" t="s">
        <v>49</v>
      </c>
      <c r="B4" s="61" t="str">
        <f ca="1">IF(M7&lt;B5,"Not Significant",IF(M3&lt;M1,"Low Signal",IF(M3&lt;M2,"In Range",IF(M3&lt;R2,"In Range",IF(M3&lt;&gt;"—","High Signal","No Signal")))))</f>
        <v>No Signal</v>
      </c>
      <c r="C4" s="31"/>
      <c r="D4" s="167"/>
      <c r="E4" s="95">
        <v>1</v>
      </c>
      <c r="F4" s="51" t="s">
        <v>21</v>
      </c>
      <c r="G4" s="52">
        <f>HLOOKUP($B$2,Caldat!$AC$1:$AT$8,ROW(F4),FALSE)</f>
        <v>18.363056499999999</v>
      </c>
      <c r="H4" s="67">
        <f>VLOOKUP($B$2,Caldat!G$2:I$36,2,FALSE)</f>
        <v>0</v>
      </c>
      <c r="J4" s="39"/>
      <c r="K4" s="39"/>
      <c r="L4" s="48" t="s">
        <v>77</v>
      </c>
      <c r="M4" s="62">
        <f ca="1">SLOPE(INDIRECT("H"&amp;(MATCH(1,E2:E8,0)+1)&amp;":H"&amp;(MATCH(1,E2:E8,1)+1)&amp;""),INDIRECT("G"&amp;(MATCH(1,E2:E8,0)+1)&amp;":G"&amp;(MATCH(1,E2:E8,1)+1)&amp;""))</f>
        <v>0</v>
      </c>
      <c r="N4" s="39"/>
      <c r="O4" s="39"/>
      <c r="P4" s="39"/>
      <c r="Q4" s="48" t="s">
        <v>77</v>
      </c>
      <c r="R4" s="62">
        <f ca="1">SLOPE(INDIRECT("H"&amp;(MATCH(2,E2:E8,0)+1)&amp;":H"&amp;(MATCH(2,E2:E8,1)+1)&amp;""),INDIRECT("G"&amp;(MATCH(2,E2:E8,0)+1)&amp;":G"&amp;(MATCH(2,E2:E8,1)+1)&amp;""))</f>
        <v>0</v>
      </c>
    </row>
    <row r="5" spans="1:18" ht="20" customHeight="1" thickBot="1" x14ac:dyDescent="0.25">
      <c r="A5" s="35" t="s">
        <v>71</v>
      </c>
      <c r="B5" s="60">
        <f>VLOOKUP(B2,Caldat!$W$2:$Y$38,2,FALSE)</f>
        <v>5</v>
      </c>
      <c r="D5" s="168"/>
      <c r="E5" s="96">
        <v>1</v>
      </c>
      <c r="F5" s="58" t="s">
        <v>22</v>
      </c>
      <c r="G5" s="59">
        <f>HLOOKUP($B$2,Caldat!$AC$1:$AT$8,ROW(F5),FALSE)</f>
        <v>36.61036</v>
      </c>
      <c r="H5" s="68">
        <f>VLOOKUP($B$2,Caldat!J$2:L$34,2,FALSE)</f>
        <v>0</v>
      </c>
      <c r="I5" s="39"/>
      <c r="J5" s="39"/>
      <c r="K5" s="39"/>
      <c r="L5" s="48" t="s">
        <v>26</v>
      </c>
      <c r="M5" s="62">
        <f ca="1">INTERCEPT(INDIRECT("H"&amp;(MATCH(1,E2:E8,0)+1)&amp;":H"&amp;(MATCH(1,E2:E8,1)+1)&amp;""),INDIRECT("G"&amp;(MATCH(1,E2:E8,0)+1)&amp;":G"&amp;(MATCH(1,E2:E8,1)+1)&amp;""))</f>
        <v>0</v>
      </c>
      <c r="N5" s="39"/>
      <c r="O5" s="39"/>
      <c r="P5" s="39"/>
      <c r="Q5" s="48" t="s">
        <v>26</v>
      </c>
      <c r="R5" s="62">
        <f ca="1">INTERCEPT(INDIRECT("H"&amp;(MATCH(2,E2:E8,0)+1)&amp;":H"&amp;(MATCH(2,E2:E8,1)+1)&amp;""),INDIRECT("G"&amp;(MATCH(2,E2:E8,0)+1)&amp;":G"&amp;(MATCH(2,E2:E8,1)+1)&amp;""))</f>
        <v>0</v>
      </c>
    </row>
    <row r="6" spans="1:18" ht="20" customHeight="1" thickBot="1" x14ac:dyDescent="0.25">
      <c r="A6" s="36" t="s">
        <v>72</v>
      </c>
      <c r="B6" s="61">
        <f>ROUND(B5/3,2)</f>
        <v>1.67</v>
      </c>
      <c r="D6" s="163" t="s">
        <v>80</v>
      </c>
      <c r="E6" s="97">
        <v>2</v>
      </c>
      <c r="F6" s="53" t="s">
        <v>23</v>
      </c>
      <c r="G6" s="54">
        <f>HLOOKUP($B$2,Caldat!$AC$1:$AT$8,ROW(F6),FALSE)</f>
        <v>73.501311099999995</v>
      </c>
      <c r="H6" s="67">
        <f>VLOOKUP($B$2,Caldat!M$2:O$36,2,FALSE)</f>
        <v>0</v>
      </c>
      <c r="I6" s="39"/>
      <c r="J6" s="39"/>
      <c r="K6" s="39"/>
      <c r="L6" s="63" t="s">
        <v>78</v>
      </c>
      <c r="M6" s="64" t="e">
        <f ca="1">RSQ(INDIRECT("H"&amp;(MATCH(1,E2:E8,0)+1)&amp;":H"&amp;(MATCH(1,E2:E8,1)+1)&amp;""),INDIRECT("G"&amp;(MATCH(1,E2:E8,0)+1)&amp;":G"&amp;(MATCH(1,E2:E8,1)+1)&amp;""))</f>
        <v>#DIV/0!</v>
      </c>
      <c r="N6" s="41"/>
      <c r="O6" s="39"/>
      <c r="P6" s="39"/>
      <c r="Q6" s="63" t="s">
        <v>78</v>
      </c>
      <c r="R6" s="64" t="e">
        <f ca="1">RSQ(INDIRECT("H"&amp;(MATCH(2,E2:E8,0)+1)&amp;":H"&amp;(MATCH(2,E2:E8,1)+1)&amp;""),INDIRECT("G"&amp;(MATCH(2,E2:E8,0)+1)&amp;":G"&amp;(MATCH(2,E2:E8,1)+1)&amp;""))</f>
        <v>#DIV/0!</v>
      </c>
    </row>
    <row r="7" spans="1:18" ht="20" customHeight="1" thickBot="1" x14ac:dyDescent="0.25">
      <c r="D7" s="164"/>
      <c r="E7" s="98">
        <v>2</v>
      </c>
      <c r="F7" s="53" t="s">
        <v>24</v>
      </c>
      <c r="G7" s="54">
        <f>HLOOKUP($B$2,Caldat!$AC$1:$AT$8,ROW(F7),FALSE)</f>
        <v>108.889031</v>
      </c>
      <c r="H7" s="67">
        <f>VLOOKUP($B$2,Caldat!P$2:R$32,2,FALSE)</f>
        <v>0</v>
      </c>
      <c r="I7" s="39"/>
      <c r="J7" s="39"/>
      <c r="K7" s="39"/>
      <c r="L7" s="65" t="s">
        <v>27</v>
      </c>
      <c r="M7" s="84" t="str">
        <f ca="1">IFERROR((M3-M5)/M4,"—")</f>
        <v>—</v>
      </c>
      <c r="N7" s="33"/>
      <c r="O7" s="33"/>
      <c r="P7" s="33"/>
      <c r="Q7" s="65" t="s">
        <v>27</v>
      </c>
      <c r="R7" s="84" t="str">
        <f ca="1">IFERROR((R3-R5)/R4,"—")</f>
        <v>—</v>
      </c>
    </row>
    <row r="8" spans="1:18" ht="20" customHeight="1" thickBot="1" x14ac:dyDescent="0.25">
      <c r="D8" s="165"/>
      <c r="E8" s="99">
        <v>2</v>
      </c>
      <c r="F8" s="55" t="s">
        <v>25</v>
      </c>
      <c r="G8" s="89">
        <f>HLOOKUP($B$2,Caldat!$AC$1:$AT$8,ROW(F8),FALSE)</f>
        <v>145.30533299999999</v>
      </c>
      <c r="H8" s="90">
        <f>VLOOKUP($B$2,Caldat!S$2:U$29,2,FALSE)</f>
        <v>0</v>
      </c>
      <c r="I8" s="39"/>
      <c r="J8" s="39"/>
      <c r="K8" s="39"/>
      <c r="M8" s="33"/>
      <c r="O8" s="33"/>
      <c r="P8" s="33"/>
      <c r="Q8" s="33"/>
      <c r="R8" s="33"/>
    </row>
  </sheetData>
  <mergeCells count="3">
    <mergeCell ref="A1:A2"/>
    <mergeCell ref="D3:D5"/>
    <mergeCell ref="D6:D8"/>
  </mergeCells>
  <pageMargins left="0.7" right="0.7" top="0.75" bottom="0.75" header="0.3" footer="0.3"/>
  <pageSetup orientation="portrait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233CD-351B-9543-8DAF-000BB8917E70}">
  <dimension ref="A1:R8"/>
  <sheetViews>
    <sheetView zoomScale="150" zoomScaleNormal="150" workbookViewId="0">
      <selection activeCell="B3" sqref="B3:B4"/>
    </sheetView>
  </sheetViews>
  <sheetFormatPr baseColWidth="10" defaultColWidth="8.83203125" defaultRowHeight="15" x14ac:dyDescent="0.2"/>
  <cols>
    <col min="1" max="1" width="21.83203125" customWidth="1"/>
    <col min="2" max="2" width="13.1640625" customWidth="1"/>
    <col min="3" max="4" width="2.83203125" customWidth="1"/>
    <col min="5" max="5" width="7.6640625" style="100" hidden="1" customWidth="1"/>
    <col min="6" max="8" width="10.83203125" style="6" customWidth="1"/>
    <col min="9" max="9" width="15.33203125" customWidth="1"/>
    <col min="10" max="10" width="2.83203125" customWidth="1"/>
    <col min="12" max="12" width="22.83203125" bestFit="1" customWidth="1"/>
    <col min="13" max="14" width="8.83203125" style="20"/>
    <col min="15" max="15" width="2.83203125" style="20" customWidth="1"/>
    <col min="16" max="16" width="8.83203125" style="20"/>
    <col min="17" max="17" width="22.83203125" style="20" bestFit="1" customWidth="1"/>
    <col min="18" max="18" width="8.83203125" style="20"/>
  </cols>
  <sheetData>
    <row r="1" spans="1:18" ht="20" customHeight="1" thickBot="1" x14ac:dyDescent="0.25">
      <c r="A1" s="161" t="s">
        <v>32</v>
      </c>
      <c r="B1" s="42" t="s">
        <v>87</v>
      </c>
      <c r="C1" s="34"/>
      <c r="D1" s="34"/>
      <c r="E1" s="93" t="s">
        <v>85</v>
      </c>
      <c r="F1" s="37" t="s">
        <v>0</v>
      </c>
      <c r="G1" s="38" t="str">
        <f>""&amp;$B$2&amp;" ppm"</f>
        <v>Ni ppm</v>
      </c>
      <c r="H1" s="38" t="str">
        <f>""&amp;$B$2&amp;" Signal"</f>
        <v>Ni Signal</v>
      </c>
      <c r="I1" s="39"/>
      <c r="J1" s="39"/>
      <c r="K1" s="85" t="s">
        <v>29</v>
      </c>
      <c r="L1" s="47" t="s">
        <v>75</v>
      </c>
      <c r="M1" s="92" cm="1">
        <f t="array" aca="1" ref="M1" ca="1">INDIRECT("H"&amp;(MATCH(1,E2:E8,0)+1)&amp;"")</f>
        <v>0</v>
      </c>
      <c r="N1" s="39"/>
      <c r="O1" s="39"/>
      <c r="P1" s="40" t="s">
        <v>30</v>
      </c>
      <c r="Q1" s="47" t="s">
        <v>75</v>
      </c>
      <c r="R1" s="87" cm="1">
        <f t="array" aca="1" ref="R1" ca="1">INDIRECT("H"&amp;(MATCH(2,E2:E8,0)+1)&amp;"")</f>
        <v>0</v>
      </c>
    </row>
    <row r="2" spans="1:18" ht="20" customHeight="1" thickBot="1" x14ac:dyDescent="0.3">
      <c r="A2" s="162"/>
      <c r="B2" s="43" t="s">
        <v>8</v>
      </c>
      <c r="C2" s="31"/>
      <c r="D2" s="79"/>
      <c r="E2" s="79"/>
      <c r="F2" s="80" t="s">
        <v>19</v>
      </c>
      <c r="G2" s="81">
        <f>HLOOKUP($B$2,Caldat!$AC$1:$AT$8,ROW(F2),FALSE)</f>
        <v>0.46100000000000002</v>
      </c>
      <c r="H2" s="82">
        <f>IFERROR(VLOOKUP($B$2,Caldat!A$2:C$38,2,FALSE),0)</f>
        <v>0</v>
      </c>
      <c r="I2" s="39"/>
      <c r="J2" s="39"/>
      <c r="K2" s="39"/>
      <c r="L2" s="48" t="s">
        <v>76</v>
      </c>
      <c r="M2" s="86" cm="1">
        <f t="array" aca="1" ref="M2" ca="1">INDIRECT("H"&amp;(MATCH(1,E2:E8,1)+1)&amp;"")</f>
        <v>0</v>
      </c>
      <c r="N2" s="39"/>
      <c r="O2" s="39"/>
      <c r="P2" s="39"/>
      <c r="Q2" s="48" t="s">
        <v>76</v>
      </c>
      <c r="R2" s="86" cm="1">
        <f t="array" aca="1" ref="R2" ca="1">INDIRECT("H"&amp;(MATCH(2,E2:E8,1)+1)&amp;"")</f>
        <v>0</v>
      </c>
    </row>
    <row r="3" spans="1:18" ht="20" customHeight="1" x14ac:dyDescent="0.2">
      <c r="A3" s="35" t="s">
        <v>48</v>
      </c>
      <c r="B3" s="91" t="str">
        <f ca="1">IF(M7&lt;B5,"—",IF(M3&lt;M2,M7,IF(M3&lt;R1,((M3-M2)/(R1-M2))*R7+(1-((M3-M2)/(R1-M2)))*M7,R7)))</f>
        <v>—</v>
      </c>
      <c r="C3" s="32"/>
      <c r="D3" s="167" t="s">
        <v>79</v>
      </c>
      <c r="E3" s="95">
        <v>1</v>
      </c>
      <c r="F3" s="76" t="s">
        <v>20</v>
      </c>
      <c r="G3" s="77">
        <f>HLOOKUP($B$2,Caldat!$AC$1:$AT$8,ROW(F3),FALSE)</f>
        <v>10.53298</v>
      </c>
      <c r="H3" s="78">
        <f>VLOOKUP($B$2,Caldat!D$2:F$38,2,FALSE)</f>
        <v>0</v>
      </c>
      <c r="I3" s="39"/>
      <c r="J3" s="39"/>
      <c r="K3" s="39"/>
      <c r="L3" s="47" t="s">
        <v>28</v>
      </c>
      <c r="M3" s="83" t="str">
        <f>IFERROR(VLOOKUP($B$2,Samdat!$A$4:$B$50,2,FALSE),"—")</f>
        <v>—</v>
      </c>
      <c r="N3" s="33"/>
      <c r="O3" s="33"/>
      <c r="P3" s="33"/>
      <c r="Q3" s="47" t="s">
        <v>28</v>
      </c>
      <c r="R3" s="83" t="str">
        <f>M3</f>
        <v>—</v>
      </c>
    </row>
    <row r="4" spans="1:18" ht="20" customHeight="1" thickBot="1" x14ac:dyDescent="0.25">
      <c r="A4" s="36" t="s">
        <v>49</v>
      </c>
      <c r="B4" s="61" t="str">
        <f ca="1">IF(M7&lt;B5,"Not Significant",IF(M3&lt;M1,"Low Signal",IF(M3&lt;M2,"In Range",IF(M3&lt;R2,"In Range",IF(M3&lt;&gt;"—","High Signal","No Signal")))))</f>
        <v>No Signal</v>
      </c>
      <c r="C4" s="31"/>
      <c r="D4" s="167"/>
      <c r="E4" s="95">
        <v>1</v>
      </c>
      <c r="F4" s="51" t="s">
        <v>21</v>
      </c>
      <c r="G4" s="52">
        <f>HLOOKUP($B$2,Caldat!$AC$1:$AT$8,ROW(F4),FALSE)</f>
        <v>18.824059999999999</v>
      </c>
      <c r="H4" s="67">
        <f>VLOOKUP($B$2,Caldat!G$2:I$36,2,FALSE)</f>
        <v>0</v>
      </c>
      <c r="J4" s="39"/>
      <c r="K4" s="39"/>
      <c r="L4" s="48" t="s">
        <v>77</v>
      </c>
      <c r="M4" s="62">
        <f ca="1">SLOPE(INDIRECT("H"&amp;(MATCH(1,E2:E8,0)+1)&amp;":H"&amp;(MATCH(1,E2:E8,1)+1)&amp;""),INDIRECT("G"&amp;(MATCH(1,E2:E8,0)+1)&amp;":G"&amp;(MATCH(1,E2:E8,1)+1)&amp;""))</f>
        <v>0</v>
      </c>
      <c r="N4" s="39"/>
      <c r="O4" s="39"/>
      <c r="P4" s="39"/>
      <c r="Q4" s="48" t="s">
        <v>77</v>
      </c>
      <c r="R4" s="62">
        <f ca="1">SLOPE(INDIRECT("H"&amp;(MATCH(2,E2:E8,0)+1)&amp;":H"&amp;(MATCH(2,E2:E8,1)+1)&amp;""),INDIRECT("G"&amp;(MATCH(2,E2:E8,0)+1)&amp;":G"&amp;(MATCH(2,E2:E8,1)+1)&amp;""))</f>
        <v>0</v>
      </c>
    </row>
    <row r="5" spans="1:18" ht="20" customHeight="1" thickBot="1" x14ac:dyDescent="0.25">
      <c r="A5" s="35" t="s">
        <v>71</v>
      </c>
      <c r="B5" s="60">
        <f>VLOOKUP(B2,Caldat!$W$2:$Y$38,2,FALSE)</f>
        <v>4</v>
      </c>
      <c r="D5" s="168"/>
      <c r="E5" s="96">
        <v>1</v>
      </c>
      <c r="F5" s="58" t="s">
        <v>22</v>
      </c>
      <c r="G5" s="59">
        <f>HLOOKUP($B$2,Caldat!$AC$1:$AT$8,ROW(F5),FALSE)</f>
        <v>37.071359999999999</v>
      </c>
      <c r="H5" s="68">
        <f>VLOOKUP($B$2,Caldat!J$2:L$34,2,FALSE)</f>
        <v>0</v>
      </c>
      <c r="I5" s="39"/>
      <c r="J5" s="39"/>
      <c r="K5" s="39"/>
      <c r="L5" s="48" t="s">
        <v>26</v>
      </c>
      <c r="M5" s="62">
        <f ca="1">INTERCEPT(INDIRECT("H"&amp;(MATCH(1,E2:E8,0)+1)&amp;":H"&amp;(MATCH(1,E2:E8,1)+1)&amp;""),INDIRECT("G"&amp;(MATCH(1,E2:E8,0)+1)&amp;":G"&amp;(MATCH(1,E2:E8,1)+1)&amp;""))</f>
        <v>0</v>
      </c>
      <c r="N5" s="39"/>
      <c r="O5" s="39"/>
      <c r="P5" s="39"/>
      <c r="Q5" s="48" t="s">
        <v>26</v>
      </c>
      <c r="R5" s="62">
        <f ca="1">INTERCEPT(INDIRECT("H"&amp;(MATCH(2,E2:E8,0)+1)&amp;":H"&amp;(MATCH(2,E2:E8,1)+1)&amp;""),INDIRECT("G"&amp;(MATCH(2,E2:E8,0)+1)&amp;":G"&amp;(MATCH(2,E2:E8,1)+1)&amp;""))</f>
        <v>0</v>
      </c>
    </row>
    <row r="6" spans="1:18" ht="20" customHeight="1" thickBot="1" x14ac:dyDescent="0.25">
      <c r="A6" s="36" t="s">
        <v>72</v>
      </c>
      <c r="B6" s="61">
        <f>ROUND(B5/3,2)</f>
        <v>1.33</v>
      </c>
      <c r="D6" s="163" t="s">
        <v>80</v>
      </c>
      <c r="E6" s="97">
        <v>2</v>
      </c>
      <c r="F6" s="53" t="s">
        <v>23</v>
      </c>
      <c r="G6" s="54">
        <f>HLOOKUP($B$2,Caldat!$AC$1:$AT$8,ROW(F6),FALSE)</f>
        <v>73.962310000000002</v>
      </c>
      <c r="H6" s="67">
        <f>VLOOKUP($B$2,Caldat!M$2:O$36,2,FALSE)</f>
        <v>0</v>
      </c>
      <c r="I6" s="39"/>
      <c r="J6" s="39"/>
      <c r="K6" s="39"/>
      <c r="L6" s="63" t="s">
        <v>78</v>
      </c>
      <c r="M6" s="64" t="e">
        <f ca="1">RSQ(INDIRECT("H"&amp;(MATCH(1,E2:E8,0)+1)&amp;":H"&amp;(MATCH(1,E2:E8,1)+1)&amp;""),INDIRECT("G"&amp;(MATCH(1,E2:E8,0)+1)&amp;":G"&amp;(MATCH(1,E2:E8,1)+1)&amp;""))</f>
        <v>#DIV/0!</v>
      </c>
      <c r="N6" s="41"/>
      <c r="O6" s="39"/>
      <c r="P6" s="39"/>
      <c r="Q6" s="63" t="s">
        <v>78</v>
      </c>
      <c r="R6" s="64" t="e">
        <f ca="1">RSQ(INDIRECT("H"&amp;(MATCH(2,E2:E8,0)+1)&amp;":H"&amp;(MATCH(2,E2:E8,1)+1)&amp;""),INDIRECT("G"&amp;(MATCH(2,E2:E8,0)+1)&amp;":G"&amp;(MATCH(2,E2:E8,1)+1)&amp;""))</f>
        <v>#DIV/0!</v>
      </c>
    </row>
    <row r="7" spans="1:18" ht="20" customHeight="1" thickBot="1" x14ac:dyDescent="0.25">
      <c r="D7" s="164"/>
      <c r="E7" s="98">
        <v>2</v>
      </c>
      <c r="F7" s="53" t="s">
        <v>24</v>
      </c>
      <c r="G7" s="54">
        <f>HLOOKUP($B$2,Caldat!$AC$1:$AT$8,ROW(F7),FALSE)</f>
        <v>109.35</v>
      </c>
      <c r="H7" s="67">
        <f>VLOOKUP($B$2,Caldat!P$2:R$32,2,FALSE)</f>
        <v>0</v>
      </c>
      <c r="I7" s="39"/>
      <c r="J7" s="39"/>
      <c r="K7" s="39"/>
      <c r="L7" s="65" t="s">
        <v>27</v>
      </c>
      <c r="M7" s="84" t="str">
        <f ca="1">IFERROR((M3-M5)/M4,"—")</f>
        <v>—</v>
      </c>
      <c r="N7" s="33"/>
      <c r="O7" s="33"/>
      <c r="P7" s="33"/>
      <c r="Q7" s="65" t="s">
        <v>27</v>
      </c>
      <c r="R7" s="84" t="str">
        <f ca="1">IFERROR((R3-R5)/R4,"—")</f>
        <v>—</v>
      </c>
    </row>
    <row r="8" spans="1:18" ht="20" customHeight="1" thickBot="1" x14ac:dyDescent="0.25">
      <c r="D8" s="165"/>
      <c r="E8" s="99">
        <v>2</v>
      </c>
      <c r="F8" s="55" t="s">
        <v>25</v>
      </c>
      <c r="G8" s="89">
        <f>HLOOKUP($B$2,Caldat!$AC$1:$AT$8,ROW(F8),FALSE)</f>
        <v>145.7663</v>
      </c>
      <c r="H8" s="90">
        <f>VLOOKUP($B$2,Caldat!S$2:U$29,2,FALSE)</f>
        <v>0</v>
      </c>
      <c r="I8" s="39"/>
      <c r="J8" s="39"/>
      <c r="K8" s="39"/>
      <c r="M8" s="33"/>
      <c r="O8" s="33"/>
      <c r="P8" s="33"/>
      <c r="Q8" s="33"/>
      <c r="R8" s="33"/>
    </row>
  </sheetData>
  <mergeCells count="3">
    <mergeCell ref="A1:A2"/>
    <mergeCell ref="D3:D5"/>
    <mergeCell ref="D6:D8"/>
  </mergeCells>
  <pageMargins left="0.7" right="0.7" top="0.75" bottom="0.75" header="0.3" footer="0.3"/>
  <pageSetup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A912-4DE4-8244-B2AD-1A13D04540ED}">
  <dimension ref="A1:R8"/>
  <sheetViews>
    <sheetView zoomScale="150" zoomScaleNormal="150" workbookViewId="0">
      <selection activeCell="K5" sqref="K5"/>
    </sheetView>
  </sheetViews>
  <sheetFormatPr baseColWidth="10" defaultColWidth="8.83203125" defaultRowHeight="15" x14ac:dyDescent="0.2"/>
  <cols>
    <col min="1" max="1" width="21.83203125" customWidth="1"/>
    <col min="2" max="2" width="13.1640625" customWidth="1"/>
    <col min="3" max="4" width="2.83203125" customWidth="1"/>
    <col min="5" max="5" width="7.6640625" style="100" hidden="1" customWidth="1"/>
    <col min="6" max="8" width="10.83203125" style="6" customWidth="1"/>
    <col min="9" max="9" width="15.33203125" customWidth="1"/>
    <col min="10" max="10" width="2.83203125" customWidth="1"/>
    <col min="12" max="12" width="22.83203125" bestFit="1" customWidth="1"/>
    <col min="13" max="14" width="8.83203125" style="20"/>
    <col min="15" max="15" width="2.83203125" style="20" customWidth="1"/>
    <col min="16" max="16" width="8.83203125" style="20"/>
    <col min="17" max="17" width="22.83203125" style="20" bestFit="1" customWidth="1"/>
    <col min="18" max="18" width="8.83203125" style="20"/>
  </cols>
  <sheetData>
    <row r="1" spans="1:18" ht="20" customHeight="1" thickBot="1" x14ac:dyDescent="0.25">
      <c r="A1" s="161" t="s">
        <v>32</v>
      </c>
      <c r="B1" s="42" t="s">
        <v>88</v>
      </c>
      <c r="C1" s="34"/>
      <c r="D1" s="34"/>
      <c r="E1" s="93" t="s">
        <v>85</v>
      </c>
      <c r="F1" s="37" t="s">
        <v>0</v>
      </c>
      <c r="G1" s="38" t="str">
        <f>""&amp;$B$2&amp;" ppm"</f>
        <v>Cu ppm</v>
      </c>
      <c r="H1" s="38" t="str">
        <f>""&amp;$B$2&amp;" Signal"</f>
        <v>Cu Signal</v>
      </c>
      <c r="I1" s="39"/>
      <c r="J1" s="39"/>
      <c r="K1" s="85" t="s">
        <v>29</v>
      </c>
      <c r="L1" s="47" t="s">
        <v>75</v>
      </c>
      <c r="M1" s="92" cm="1">
        <f t="array" aca="1" ref="M1" ca="1">INDIRECT("H"&amp;(MATCH(1,E2:E8,0)+1)&amp;"")</f>
        <v>0</v>
      </c>
      <c r="N1" s="39"/>
      <c r="O1" s="39"/>
      <c r="P1" s="40" t="s">
        <v>30</v>
      </c>
      <c r="Q1" s="47" t="s">
        <v>75</v>
      </c>
      <c r="R1" s="87" cm="1">
        <f t="array" aca="1" ref="R1" ca="1">INDIRECT("H"&amp;(MATCH(2,E2:E8,0)+1)&amp;"")</f>
        <v>0</v>
      </c>
    </row>
    <row r="2" spans="1:18" ht="20" customHeight="1" thickBot="1" x14ac:dyDescent="0.3">
      <c r="A2" s="162"/>
      <c r="B2" s="43" t="s">
        <v>9</v>
      </c>
      <c r="C2" s="31"/>
      <c r="D2" s="166" t="s">
        <v>79</v>
      </c>
      <c r="E2" s="94">
        <v>1</v>
      </c>
      <c r="F2" s="49" t="s">
        <v>19</v>
      </c>
      <c r="G2" s="50">
        <f>HLOOKUP($B$2,Caldat!$AC$1:$AT$8,ROW(F2),FALSE)</f>
        <v>20.54</v>
      </c>
      <c r="H2" s="66">
        <f>IFERROR(VLOOKUP($B$2,Caldat!A$2:C$38,2,FALSE),0)</f>
        <v>0</v>
      </c>
      <c r="I2" s="39"/>
      <c r="J2" s="39"/>
      <c r="K2" s="39"/>
      <c r="L2" s="48" t="s">
        <v>76</v>
      </c>
      <c r="M2" s="86" cm="1">
        <f t="array" aca="1" ref="M2" ca="1">INDIRECT("H"&amp;(MATCH(1,E2:E8,1)+1)&amp;"")</f>
        <v>0</v>
      </c>
      <c r="N2" s="39"/>
      <c r="O2" s="39"/>
      <c r="P2" s="39"/>
      <c r="Q2" s="48" t="s">
        <v>76</v>
      </c>
      <c r="R2" s="86" cm="1">
        <f t="array" aca="1" ref="R2" ca="1">INDIRECT("H"&amp;(MATCH(2,E2:E8,1)+1)&amp;"")</f>
        <v>0</v>
      </c>
    </row>
    <row r="3" spans="1:18" ht="20" customHeight="1" x14ac:dyDescent="0.2">
      <c r="A3" s="35" t="s">
        <v>48</v>
      </c>
      <c r="B3" s="91" t="str">
        <f ca="1">IF(M7&lt;B5,"—",IF(M3&lt;M2,M7,IF(M3&lt;R1,((M3-M2)/(R1-M2))*R7+(1-((M3-M2)/(R1-M2)))*M7,R7)))</f>
        <v>—</v>
      </c>
      <c r="C3" s="32"/>
      <c r="D3" s="167"/>
      <c r="E3" s="95">
        <v>1</v>
      </c>
      <c r="F3" s="51" t="s">
        <v>20</v>
      </c>
      <c r="G3" s="52">
        <f>HLOOKUP($B$2,Caldat!$AC$1:$AT$8,ROW(F3),FALSE)</f>
        <v>30.611979999999999</v>
      </c>
      <c r="H3" s="67">
        <f>VLOOKUP($B$2,Caldat!D$2:F$38,2,FALSE)</f>
        <v>0</v>
      </c>
      <c r="I3" s="39"/>
      <c r="J3" s="39"/>
      <c r="K3" s="39"/>
      <c r="L3" s="47" t="s">
        <v>28</v>
      </c>
      <c r="M3" s="83" t="str">
        <f>IFERROR(VLOOKUP($B$2,Samdat!$A$4:$B$50,2,FALSE),"—")</f>
        <v>—</v>
      </c>
      <c r="N3" s="33"/>
      <c r="O3" s="33"/>
      <c r="P3" s="33"/>
      <c r="Q3" s="47" t="s">
        <v>28</v>
      </c>
      <c r="R3" s="83" t="str">
        <f>M3</f>
        <v>—</v>
      </c>
    </row>
    <row r="4" spans="1:18" ht="20" customHeight="1" thickBot="1" x14ac:dyDescent="0.25">
      <c r="A4" s="36" t="s">
        <v>49</v>
      </c>
      <c r="B4" s="61" t="str">
        <f ca="1">IF(M7&lt;B5,"Not Significant",IF(M3&lt;M1,"Low Signal",IF(M3&lt;M2,"In Range",IF(M3&lt;R2,"In Range",IF(M3&lt;&gt;"—","High Signal","No Signal")))))</f>
        <v>No Signal</v>
      </c>
      <c r="C4" s="31"/>
      <c r="D4" s="168"/>
      <c r="E4" s="95">
        <v>1</v>
      </c>
      <c r="F4" s="132" t="s">
        <v>21</v>
      </c>
      <c r="G4" s="133">
        <f>HLOOKUP($B$2,Caldat!$AC$1:$AT$8,ROW(F4),FALSE)</f>
        <v>38.903060000000004</v>
      </c>
      <c r="H4" s="134">
        <f>VLOOKUP($B$2,Caldat!G$2:I$36,2,FALSE)</f>
        <v>0</v>
      </c>
      <c r="J4" s="39"/>
      <c r="K4" s="39"/>
      <c r="L4" s="48" t="s">
        <v>77</v>
      </c>
      <c r="M4" s="62">
        <f ca="1">SLOPE(INDIRECT("H"&amp;(MATCH(1,E2:E8,0)+1)&amp;":H"&amp;(MATCH(1,E2:E8,1)+1)&amp;""),INDIRECT("G"&amp;(MATCH(1,E2:E8,0)+1)&amp;":G"&amp;(MATCH(1,E2:E8,1)+1)&amp;""))</f>
        <v>0</v>
      </c>
      <c r="N4" s="39"/>
      <c r="O4" s="39"/>
      <c r="P4" s="39"/>
      <c r="Q4" s="48" t="s">
        <v>77</v>
      </c>
      <c r="R4" s="62">
        <f ca="1">SLOPE(INDIRECT("H"&amp;(MATCH(2,E2:E8,0)+1)&amp;":H"&amp;(MATCH(2,E2:E8,1)+1)&amp;""),INDIRECT("G"&amp;(MATCH(2,E2:E8,0)+1)&amp;":G"&amp;(MATCH(2,E2:E8,1)+1)&amp;""))</f>
        <v>0</v>
      </c>
    </row>
    <row r="5" spans="1:18" ht="20" customHeight="1" x14ac:dyDescent="0.2">
      <c r="A5" s="35" t="s">
        <v>71</v>
      </c>
      <c r="B5" s="60">
        <f>VLOOKUP(B2,Caldat!$W$2:$Y$38,2,FALSE)</f>
        <v>4</v>
      </c>
      <c r="D5" s="163" t="s">
        <v>80</v>
      </c>
      <c r="E5" s="97">
        <v>2</v>
      </c>
      <c r="F5" s="56" t="s">
        <v>22</v>
      </c>
      <c r="G5" s="57">
        <f>HLOOKUP($B$2,Caldat!$AC$1:$AT$8,ROW(F5),FALSE)</f>
        <v>57.150359999999999</v>
      </c>
      <c r="H5" s="66">
        <f>VLOOKUP($B$2,Caldat!J$2:L$34,2,FALSE)</f>
        <v>0</v>
      </c>
      <c r="I5" s="39"/>
      <c r="J5" s="39"/>
      <c r="K5" s="39"/>
      <c r="L5" s="48" t="s">
        <v>26</v>
      </c>
      <c r="M5" s="62">
        <f ca="1">INTERCEPT(INDIRECT("H"&amp;(MATCH(1,E2:E8,0)+1)&amp;":H"&amp;(MATCH(1,E2:E8,1)+1)&amp;""),INDIRECT("G"&amp;(MATCH(1,E2:E8,0)+1)&amp;":G"&amp;(MATCH(1,E2:E8,1)+1)&amp;""))</f>
        <v>0</v>
      </c>
      <c r="N5" s="39"/>
      <c r="O5" s="39"/>
      <c r="P5" s="39"/>
      <c r="Q5" s="48" t="s">
        <v>26</v>
      </c>
      <c r="R5" s="62">
        <f ca="1">INTERCEPT(INDIRECT("H"&amp;(MATCH(2,E2:E8,0)+1)&amp;":H"&amp;(MATCH(2,E2:E8,1)+1)&amp;""),INDIRECT("G"&amp;(MATCH(2,E2:E8,0)+1)&amp;":G"&amp;(MATCH(2,E2:E8,1)+1)&amp;""))</f>
        <v>0</v>
      </c>
    </row>
    <row r="6" spans="1:18" ht="20" customHeight="1" thickBot="1" x14ac:dyDescent="0.25">
      <c r="A6" s="36" t="s">
        <v>72</v>
      </c>
      <c r="B6" s="61">
        <f>ROUND(B5/3,2)</f>
        <v>1.33</v>
      </c>
      <c r="D6" s="164"/>
      <c r="E6" s="98">
        <v>2</v>
      </c>
      <c r="F6" s="53" t="s">
        <v>23</v>
      </c>
      <c r="G6" s="54">
        <f>HLOOKUP($B$2,Caldat!$AC$1:$AT$8,ROW(F6),FALSE)</f>
        <v>94.041309999999996</v>
      </c>
      <c r="H6" s="67">
        <f>VLOOKUP($B$2,Caldat!M$2:O$36,2,FALSE)</f>
        <v>0</v>
      </c>
      <c r="I6" s="39"/>
      <c r="J6" s="39"/>
      <c r="K6" s="39"/>
      <c r="L6" s="63" t="s">
        <v>78</v>
      </c>
      <c r="M6" s="64" t="e">
        <f ca="1">RSQ(INDIRECT("H"&amp;(MATCH(1,E2:E8,0)+1)&amp;":H"&amp;(MATCH(1,E2:E8,1)+1)&amp;""),INDIRECT("G"&amp;(MATCH(1,E2:E8,0)+1)&amp;":G"&amp;(MATCH(1,E2:E8,1)+1)&amp;""))</f>
        <v>#DIV/0!</v>
      </c>
      <c r="N6" s="41"/>
      <c r="O6" s="39"/>
      <c r="P6" s="39"/>
      <c r="Q6" s="63" t="s">
        <v>78</v>
      </c>
      <c r="R6" s="64" t="e">
        <f ca="1">RSQ(INDIRECT("H"&amp;(MATCH(2,E2:E8,0)+1)&amp;":H"&amp;(MATCH(2,E2:E8,1)+1)&amp;""),INDIRECT("G"&amp;(MATCH(2,E2:E8,0)+1)&amp;":G"&amp;(MATCH(2,E2:E8,1)+1)&amp;""))</f>
        <v>#DIV/0!</v>
      </c>
    </row>
    <row r="7" spans="1:18" ht="20" customHeight="1" thickBot="1" x14ac:dyDescent="0.25">
      <c r="D7" s="164"/>
      <c r="E7" s="98">
        <v>2</v>
      </c>
      <c r="F7" s="53" t="s">
        <v>24</v>
      </c>
      <c r="G7" s="54">
        <f>HLOOKUP($B$2,Caldat!$AC$1:$AT$8,ROW(F7),FALSE)</f>
        <v>129.429</v>
      </c>
      <c r="H7" s="67">
        <f>VLOOKUP($B$2,Caldat!P$2:R$32,2,FALSE)</f>
        <v>0</v>
      </c>
      <c r="I7" s="39"/>
      <c r="J7" s="39"/>
      <c r="K7" s="39"/>
      <c r="L7" s="65" t="s">
        <v>27</v>
      </c>
      <c r="M7" s="84" t="str">
        <f ca="1">IFERROR((M3-M5)/M4,"—")</f>
        <v>—</v>
      </c>
      <c r="N7" s="33"/>
      <c r="O7" s="33"/>
      <c r="P7" s="33"/>
      <c r="Q7" s="65" t="s">
        <v>27</v>
      </c>
      <c r="R7" s="84" t="str">
        <f ca="1">IFERROR((R3-R5)/R4,"—")</f>
        <v>—</v>
      </c>
    </row>
    <row r="8" spans="1:18" ht="20" customHeight="1" thickBot="1" x14ac:dyDescent="0.25">
      <c r="D8" s="165"/>
      <c r="E8" s="99">
        <v>2</v>
      </c>
      <c r="F8" s="55" t="s">
        <v>25</v>
      </c>
      <c r="G8" s="89">
        <f>HLOOKUP($B$2,Caldat!$AC$1:$AT$8,ROW(F8),FALSE)</f>
        <v>165.84530000000001</v>
      </c>
      <c r="H8" s="90">
        <f>VLOOKUP($B$2,Caldat!S$2:U$29,2,FALSE)</f>
        <v>0</v>
      </c>
      <c r="I8" s="39"/>
      <c r="J8" s="39"/>
      <c r="K8" s="39"/>
      <c r="M8" s="33"/>
      <c r="O8" s="33"/>
      <c r="P8" s="33"/>
      <c r="Q8" s="33"/>
      <c r="R8" s="33"/>
    </row>
  </sheetData>
  <mergeCells count="3">
    <mergeCell ref="A1:A2"/>
    <mergeCell ref="D2:D4"/>
    <mergeCell ref="D5:D8"/>
  </mergeCells>
  <pageMargins left="0.7" right="0.7" top="0.75" bottom="0.75" header="0.3" footer="0.3"/>
  <pageSetup orientation="portrait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1131-AE97-EC45-9E55-E40152BB8962}">
  <dimension ref="A1:R8"/>
  <sheetViews>
    <sheetView zoomScale="150" zoomScaleNormal="150" workbookViewId="0">
      <selection activeCell="M3" sqref="M3"/>
    </sheetView>
  </sheetViews>
  <sheetFormatPr baseColWidth="10" defaultColWidth="8.83203125" defaultRowHeight="15" x14ac:dyDescent="0.2"/>
  <cols>
    <col min="1" max="1" width="21.83203125" customWidth="1"/>
    <col min="2" max="2" width="13.1640625" customWidth="1"/>
    <col min="3" max="4" width="2.83203125" customWidth="1"/>
    <col min="5" max="5" width="7.6640625" style="100" hidden="1" customWidth="1"/>
    <col min="6" max="8" width="10.83203125" style="6" customWidth="1"/>
    <col min="9" max="9" width="15.33203125" customWidth="1"/>
    <col min="10" max="10" width="2.83203125" customWidth="1"/>
    <col min="12" max="12" width="22.83203125" bestFit="1" customWidth="1"/>
    <col min="13" max="14" width="8.83203125" style="20"/>
    <col min="15" max="15" width="2.83203125" style="20" customWidth="1"/>
    <col min="16" max="16" width="8.83203125" style="20"/>
    <col min="17" max="17" width="22.83203125" style="20" bestFit="1" customWidth="1"/>
    <col min="18" max="18" width="8.83203125" style="20"/>
  </cols>
  <sheetData>
    <row r="1" spans="1:18" ht="20" customHeight="1" thickBot="1" x14ac:dyDescent="0.25">
      <c r="A1" s="161" t="s">
        <v>32</v>
      </c>
      <c r="B1" s="42" t="s">
        <v>89</v>
      </c>
      <c r="C1" s="34"/>
      <c r="D1" s="34"/>
      <c r="E1" s="93" t="s">
        <v>85</v>
      </c>
      <c r="F1" s="37" t="s">
        <v>0</v>
      </c>
      <c r="G1" s="38" t="str">
        <f>""&amp;$B$2&amp;" ppm"</f>
        <v>Zn ppm</v>
      </c>
      <c r="H1" s="38" t="str">
        <f>""&amp;$B$2&amp;" Signal"</f>
        <v>Zn Signal</v>
      </c>
      <c r="I1" s="39"/>
      <c r="J1" s="39"/>
      <c r="K1" s="85" t="s">
        <v>29</v>
      </c>
      <c r="L1" s="47" t="s">
        <v>75</v>
      </c>
      <c r="M1" s="92" cm="1">
        <f t="array" aca="1" ref="M1" ca="1">INDIRECT("H"&amp;(MATCH(1,E2:E8,0)+1)&amp;"")</f>
        <v>0</v>
      </c>
      <c r="N1" s="39"/>
      <c r="O1" s="39"/>
      <c r="P1" s="40" t="s">
        <v>30</v>
      </c>
      <c r="Q1" s="47" t="s">
        <v>75</v>
      </c>
      <c r="R1" s="87" cm="1">
        <f t="array" aca="1" ref="R1" ca="1">INDIRECT("H"&amp;(MATCH(2,E2:E8,0)+1)&amp;"")</f>
        <v>0</v>
      </c>
    </row>
    <row r="2" spans="1:18" ht="20" customHeight="1" thickBot="1" x14ac:dyDescent="0.3">
      <c r="A2" s="162"/>
      <c r="B2" s="43" t="s">
        <v>10</v>
      </c>
      <c r="C2" s="31"/>
      <c r="D2" s="79"/>
      <c r="E2" s="79"/>
      <c r="F2" s="80" t="s">
        <v>19</v>
      </c>
      <c r="G2" s="81">
        <f>HLOOKUP($B$2,Caldat!$AC$1:$AT$8,ROW(F2),FALSE)</f>
        <v>0</v>
      </c>
      <c r="H2" s="82">
        <f>IFERROR(VLOOKUP($B$2,Caldat!A$2:C$38,2,FALSE),0)</f>
        <v>0</v>
      </c>
      <c r="I2" s="39"/>
      <c r="J2" s="39"/>
      <c r="K2" s="39"/>
      <c r="L2" s="48" t="s">
        <v>76</v>
      </c>
      <c r="M2" s="86" cm="1">
        <f t="array" aca="1" ref="M2" ca="1">INDIRECT("H"&amp;(MATCH(1,E2:E8,1)+1)&amp;"")</f>
        <v>0</v>
      </c>
      <c r="N2" s="39"/>
      <c r="O2" s="39"/>
      <c r="P2" s="39"/>
      <c r="Q2" s="48" t="s">
        <v>76</v>
      </c>
      <c r="R2" s="86" cm="1">
        <f t="array" aca="1" ref="R2" ca="1">INDIRECT("H"&amp;(MATCH(2,E2:E8,1)+1)&amp;"")</f>
        <v>0</v>
      </c>
    </row>
    <row r="3" spans="1:18" ht="20" customHeight="1" x14ac:dyDescent="0.2">
      <c r="A3" s="35" t="s">
        <v>48</v>
      </c>
      <c r="B3" s="91" t="str">
        <f ca="1">IF(M7&lt;B5,"—",IF(M3&lt;M2,M7,IF(M3&lt;R1,((M3-M2)/(R1-M2))*R7+(1-((M3-M2)/(R1-M2)))*M7,R7)))</f>
        <v>—</v>
      </c>
      <c r="C3" s="32"/>
      <c r="D3" s="167" t="s">
        <v>79</v>
      </c>
      <c r="E3" s="95">
        <v>1</v>
      </c>
      <c r="F3" s="76" t="s">
        <v>20</v>
      </c>
      <c r="G3" s="77">
        <f>HLOOKUP($B$2,Caldat!$AC$1:$AT$8,ROW(F3),FALSE)</f>
        <v>10.07198</v>
      </c>
      <c r="H3" s="78">
        <f>VLOOKUP($B$2,Caldat!D$2:F$38,2,FALSE)</f>
        <v>0</v>
      </c>
      <c r="I3" s="39"/>
      <c r="J3" s="39"/>
      <c r="K3" s="39"/>
      <c r="L3" s="47" t="s">
        <v>28</v>
      </c>
      <c r="M3" s="83" t="str">
        <f>IFERROR(VLOOKUP($B$2,Samdat!$A$4:$B$50,2,FALSE),"—")</f>
        <v>—</v>
      </c>
      <c r="N3" s="33"/>
      <c r="O3" s="33"/>
      <c r="P3" s="33"/>
      <c r="Q3" s="47" t="s">
        <v>28</v>
      </c>
      <c r="R3" s="83" t="str">
        <f>M3</f>
        <v>—</v>
      </c>
    </row>
    <row r="4" spans="1:18" ht="20" customHeight="1" thickBot="1" x14ac:dyDescent="0.25">
      <c r="A4" s="36" t="s">
        <v>49</v>
      </c>
      <c r="B4" s="61" t="str">
        <f ca="1">IF(M7&lt;B5,"Not Significant",IF(M3&lt;M1,"Low Signal",IF(M3&lt;M2,"In Range",IF(M3&lt;R2,"In Range",IF(M3&lt;&gt;"—","High Signal","No Signal")))))</f>
        <v>No Signal</v>
      </c>
      <c r="C4" s="31"/>
      <c r="D4" s="167"/>
      <c r="E4" s="95">
        <v>1</v>
      </c>
      <c r="F4" s="51" t="s">
        <v>21</v>
      </c>
      <c r="G4" s="52">
        <f>HLOOKUP($B$2,Caldat!$AC$1:$AT$8,ROW(F4),FALSE)</f>
        <v>18.363060000000001</v>
      </c>
      <c r="H4" s="67">
        <f>VLOOKUP($B$2,Caldat!G$2:I$36,2,FALSE)</f>
        <v>0</v>
      </c>
      <c r="J4" s="39"/>
      <c r="K4" s="39"/>
      <c r="L4" s="48" t="s">
        <v>77</v>
      </c>
      <c r="M4" s="62">
        <f ca="1">SLOPE(INDIRECT("H"&amp;(MATCH(1,E2:E8,0)+1)&amp;":H"&amp;(MATCH(1,E2:E8,1)+1)&amp;""),INDIRECT("G"&amp;(MATCH(1,E2:E8,0)+1)&amp;":G"&amp;(MATCH(1,E2:E8,1)+1)&amp;""))</f>
        <v>0</v>
      </c>
      <c r="N4" s="39"/>
      <c r="O4" s="39"/>
      <c r="P4" s="39"/>
      <c r="Q4" s="48" t="s">
        <v>77</v>
      </c>
      <c r="R4" s="62">
        <f ca="1">SLOPE(INDIRECT("H"&amp;(MATCH(2,E2:E8,0)+1)&amp;":H"&amp;(MATCH(2,E2:E8,1)+1)&amp;""),INDIRECT("G"&amp;(MATCH(2,E2:E8,0)+1)&amp;":G"&amp;(MATCH(2,E2:E8,1)+1)&amp;""))</f>
        <v>0</v>
      </c>
    </row>
    <row r="5" spans="1:18" ht="20" customHeight="1" thickBot="1" x14ac:dyDescent="0.25">
      <c r="A5" s="35" t="s">
        <v>71</v>
      </c>
      <c r="B5" s="60">
        <f>VLOOKUP(B2,Caldat!$W$2:$Y$38,2,FALSE)</f>
        <v>5</v>
      </c>
      <c r="D5" s="168"/>
      <c r="E5" s="96">
        <v>1</v>
      </c>
      <c r="F5" s="58" t="s">
        <v>22</v>
      </c>
      <c r="G5" s="59">
        <f>HLOOKUP($B$2,Caldat!$AC$1:$AT$8,ROW(F5),FALSE)</f>
        <v>36.61036</v>
      </c>
      <c r="H5" s="68">
        <f>VLOOKUP($B$2,Caldat!J$2:L$34,2,FALSE)</f>
        <v>0</v>
      </c>
      <c r="I5" s="39"/>
      <c r="J5" s="39"/>
      <c r="K5" s="39"/>
      <c r="L5" s="48" t="s">
        <v>26</v>
      </c>
      <c r="M5" s="62">
        <f ca="1">INTERCEPT(INDIRECT("H"&amp;(MATCH(1,E2:E8,0)+1)&amp;":H"&amp;(MATCH(1,E2:E8,1)+1)&amp;""),INDIRECT("G"&amp;(MATCH(1,E2:E8,0)+1)&amp;":G"&amp;(MATCH(1,E2:E8,1)+1)&amp;""))</f>
        <v>0</v>
      </c>
      <c r="N5" s="39"/>
      <c r="O5" s="39"/>
      <c r="P5" s="39"/>
      <c r="Q5" s="48" t="s">
        <v>26</v>
      </c>
      <c r="R5" s="62">
        <f ca="1">INTERCEPT(INDIRECT("H"&amp;(MATCH(2,E2:E8,0)+1)&amp;":H"&amp;(MATCH(2,E2:E8,1)+1)&amp;""),INDIRECT("G"&amp;(MATCH(2,E2:E8,0)+1)&amp;":G"&amp;(MATCH(2,E2:E8,1)+1)&amp;""))</f>
        <v>0</v>
      </c>
    </row>
    <row r="6" spans="1:18" ht="20" customHeight="1" thickBot="1" x14ac:dyDescent="0.25">
      <c r="A6" s="36" t="s">
        <v>72</v>
      </c>
      <c r="B6" s="61">
        <f>ROUND(B5/3,2)</f>
        <v>1.67</v>
      </c>
      <c r="D6" s="163" t="s">
        <v>80</v>
      </c>
      <c r="E6" s="97">
        <v>2</v>
      </c>
      <c r="F6" s="53" t="s">
        <v>23</v>
      </c>
      <c r="G6" s="54">
        <f>HLOOKUP($B$2,Caldat!$AC$1:$AT$8,ROW(F6),FALSE)</f>
        <v>73.501310000000004</v>
      </c>
      <c r="H6" s="67">
        <f>VLOOKUP($B$2,Caldat!M$2:O$36,2,FALSE)</f>
        <v>0</v>
      </c>
      <c r="I6" s="39"/>
      <c r="J6" s="39"/>
      <c r="K6" s="39"/>
      <c r="L6" s="63" t="s">
        <v>78</v>
      </c>
      <c r="M6" s="64" t="e">
        <f ca="1">RSQ(INDIRECT("H"&amp;(MATCH(1,E2:E8,0)+1)&amp;":H"&amp;(MATCH(1,E2:E8,1)+1)&amp;""),INDIRECT("G"&amp;(MATCH(1,E2:E8,0)+1)&amp;":G"&amp;(MATCH(1,E2:E8,1)+1)&amp;""))</f>
        <v>#DIV/0!</v>
      </c>
      <c r="N6" s="41"/>
      <c r="O6" s="39"/>
      <c r="P6" s="39"/>
      <c r="Q6" s="63" t="s">
        <v>78</v>
      </c>
      <c r="R6" s="64" t="e">
        <f ca="1">RSQ(INDIRECT("H"&amp;(MATCH(2,E2:E8,0)+1)&amp;":H"&amp;(MATCH(2,E2:E8,1)+1)&amp;""),INDIRECT("G"&amp;(MATCH(2,E2:E8,0)+1)&amp;":G"&amp;(MATCH(2,E2:E8,1)+1)&amp;""))</f>
        <v>#DIV/0!</v>
      </c>
    </row>
    <row r="7" spans="1:18" ht="20" customHeight="1" thickBot="1" x14ac:dyDescent="0.25">
      <c r="D7" s="164"/>
      <c r="E7" s="98">
        <v>2</v>
      </c>
      <c r="F7" s="53" t="s">
        <v>24</v>
      </c>
      <c r="G7" s="54">
        <f>HLOOKUP($B$2,Caldat!$AC$1:$AT$8,ROW(F7),FALSE)</f>
        <v>108.889</v>
      </c>
      <c r="H7" s="67">
        <f>VLOOKUP($B$2,Caldat!P$2:R$32,2,FALSE)</f>
        <v>0</v>
      </c>
      <c r="I7" s="39"/>
      <c r="J7" s="39"/>
      <c r="K7" s="39"/>
      <c r="L7" s="65" t="s">
        <v>27</v>
      </c>
      <c r="M7" s="84" t="str">
        <f ca="1">IFERROR((M3-M5)/M4,"—")</f>
        <v>—</v>
      </c>
      <c r="N7" s="33"/>
      <c r="O7" s="33"/>
      <c r="P7" s="33"/>
      <c r="Q7" s="65" t="s">
        <v>27</v>
      </c>
      <c r="R7" s="84" t="str">
        <f ca="1">IFERROR((R3-R5)/R4,"—")</f>
        <v>—</v>
      </c>
    </row>
    <row r="8" spans="1:18" ht="20" customHeight="1" thickBot="1" x14ac:dyDescent="0.25">
      <c r="D8" s="165"/>
      <c r="E8" s="99">
        <v>2</v>
      </c>
      <c r="F8" s="55" t="s">
        <v>25</v>
      </c>
      <c r="G8" s="89">
        <f>HLOOKUP($B$2,Caldat!$AC$1:$AT$8,ROW(F8),FALSE)</f>
        <v>145.30529999999999</v>
      </c>
      <c r="H8" s="90">
        <f>VLOOKUP($B$2,Caldat!S$2:U$29,2,FALSE)</f>
        <v>0</v>
      </c>
      <c r="I8" s="39"/>
      <c r="J8" s="39"/>
      <c r="K8" s="39"/>
      <c r="M8" s="33"/>
      <c r="O8" s="33"/>
      <c r="P8" s="33"/>
      <c r="Q8" s="33"/>
      <c r="R8" s="33"/>
    </row>
  </sheetData>
  <mergeCells count="3">
    <mergeCell ref="A1:A2"/>
    <mergeCell ref="D3:D5"/>
    <mergeCell ref="D6:D8"/>
  </mergeCells>
  <pageMargins left="0.7" right="0.7" top="0.75" bottom="0.75" header="0.3" footer="0.3"/>
  <pageSetup orientation="portrait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E7F87-AB61-F948-9EB1-BE7A964623C5}">
  <dimension ref="A1:R8"/>
  <sheetViews>
    <sheetView zoomScale="150" zoomScaleNormal="150" workbookViewId="0">
      <selection activeCell="B3" sqref="B3:B4"/>
    </sheetView>
  </sheetViews>
  <sheetFormatPr baseColWidth="10" defaultColWidth="8.83203125" defaultRowHeight="15" x14ac:dyDescent="0.2"/>
  <cols>
    <col min="1" max="1" width="21.83203125" customWidth="1"/>
    <col min="2" max="2" width="13.1640625" customWidth="1"/>
    <col min="3" max="4" width="2.83203125" customWidth="1"/>
    <col min="5" max="5" width="7.6640625" style="100" hidden="1" customWidth="1"/>
    <col min="6" max="8" width="10.83203125" style="6" customWidth="1"/>
    <col min="9" max="9" width="15.33203125" customWidth="1"/>
    <col min="10" max="10" width="2.83203125" customWidth="1"/>
    <col min="12" max="12" width="22.83203125" bestFit="1" customWidth="1"/>
    <col min="13" max="14" width="8.83203125" style="20"/>
    <col min="15" max="15" width="2.83203125" style="20" customWidth="1"/>
    <col min="16" max="16" width="8.83203125" style="20"/>
    <col min="17" max="17" width="22.83203125" style="20" bestFit="1" customWidth="1"/>
    <col min="18" max="18" width="8.83203125" style="20"/>
  </cols>
  <sheetData>
    <row r="1" spans="1:18" ht="20" customHeight="1" thickBot="1" x14ac:dyDescent="0.25">
      <c r="A1" s="161" t="s">
        <v>32</v>
      </c>
      <c r="B1" s="42" t="s">
        <v>90</v>
      </c>
      <c r="C1" s="34"/>
      <c r="D1" s="34"/>
      <c r="E1" s="93" t="s">
        <v>85</v>
      </c>
      <c r="F1" s="37" t="s">
        <v>0</v>
      </c>
      <c r="G1" s="38" t="str">
        <f>""&amp;$B$2&amp;" ppm"</f>
        <v>Ga ppm</v>
      </c>
      <c r="H1" s="38" t="str">
        <f>""&amp;$B$2&amp;" Signal"</f>
        <v>Ga Signal</v>
      </c>
      <c r="I1" s="39"/>
      <c r="J1" s="39"/>
      <c r="K1" s="85" t="s">
        <v>29</v>
      </c>
      <c r="L1" s="47" t="s">
        <v>75</v>
      </c>
      <c r="M1" s="92" cm="1">
        <f t="array" aca="1" ref="M1" ca="1">INDIRECT("H"&amp;(MATCH(1,E2:E8,0)+1)&amp;"")</f>
        <v>0</v>
      </c>
      <c r="N1" s="39"/>
      <c r="O1" s="39"/>
      <c r="P1" s="40" t="s">
        <v>30</v>
      </c>
      <c r="Q1" s="47" t="s">
        <v>75</v>
      </c>
      <c r="R1" s="87" cm="1">
        <f t="array" aca="1" ref="R1" ca="1">INDIRECT("H"&amp;(MATCH(2,E2:E8,0)+1)&amp;"")</f>
        <v>0</v>
      </c>
    </row>
    <row r="2" spans="1:18" ht="20" customHeight="1" thickBot="1" x14ac:dyDescent="0.3">
      <c r="A2" s="162"/>
      <c r="B2" s="43" t="s">
        <v>11</v>
      </c>
      <c r="C2" s="31"/>
      <c r="D2" s="79"/>
      <c r="E2" s="79"/>
      <c r="F2" s="80" t="s">
        <v>19</v>
      </c>
      <c r="G2" s="81">
        <f>HLOOKUP($B$2,Caldat!$AC$1:$AT$8,ROW(F2),FALSE)</f>
        <v>0</v>
      </c>
      <c r="H2" s="82">
        <f>IFERROR(VLOOKUP($B$2,Caldat!A$2:C$38,2,FALSE),0)</f>
        <v>0</v>
      </c>
      <c r="I2" s="39"/>
      <c r="J2" s="39"/>
      <c r="K2" s="39"/>
      <c r="L2" s="48" t="s">
        <v>76</v>
      </c>
      <c r="M2" s="86" cm="1">
        <f t="array" aca="1" ref="M2" ca="1">INDIRECT("H"&amp;(MATCH(1,E2:E8,1)+1)&amp;"")</f>
        <v>0</v>
      </c>
      <c r="N2" s="39"/>
      <c r="O2" s="39"/>
      <c r="P2" s="39"/>
      <c r="Q2" s="48" t="s">
        <v>76</v>
      </c>
      <c r="R2" s="86" cm="1">
        <f t="array" aca="1" ref="R2" ca="1">INDIRECT("H"&amp;(MATCH(2,E2:E8,1)+1)&amp;"")</f>
        <v>0</v>
      </c>
    </row>
    <row r="3" spans="1:18" ht="20" customHeight="1" x14ac:dyDescent="0.2">
      <c r="A3" s="35" t="s">
        <v>48</v>
      </c>
      <c r="B3" s="91" t="str">
        <f ca="1">IF(M7&lt;B5,"—",IF(M3&lt;M2,M7,IF(M3&lt;R1,((M3-M2)/(R1-M2))*R7+(1-((M3-M2)/(R1-M2)))*M7,R7)))</f>
        <v>—</v>
      </c>
      <c r="C3" s="32"/>
      <c r="D3" s="167" t="s">
        <v>79</v>
      </c>
      <c r="E3" s="95">
        <v>1</v>
      </c>
      <c r="F3" s="76" t="s">
        <v>20</v>
      </c>
      <c r="G3" s="77">
        <f>HLOOKUP($B$2,Caldat!$AC$1:$AT$8,ROW(F3),FALSE)</f>
        <v>10.07198</v>
      </c>
      <c r="H3" s="78">
        <f>VLOOKUP($B$2,Caldat!D$2:F$38,2,FALSE)</f>
        <v>0</v>
      </c>
      <c r="I3" s="39"/>
      <c r="J3" s="39"/>
      <c r="K3" s="39"/>
      <c r="L3" s="47" t="s">
        <v>28</v>
      </c>
      <c r="M3" s="83" t="str">
        <f>IFERROR(VLOOKUP($B$2,Samdat!$A$4:$B$50,2,FALSE),"—")</f>
        <v>—</v>
      </c>
      <c r="N3" s="33"/>
      <c r="O3" s="33"/>
      <c r="P3" s="33"/>
      <c r="Q3" s="47" t="s">
        <v>28</v>
      </c>
      <c r="R3" s="83" t="str">
        <f>M3</f>
        <v>—</v>
      </c>
    </row>
    <row r="4" spans="1:18" ht="20" customHeight="1" thickBot="1" x14ac:dyDescent="0.25">
      <c r="A4" s="36" t="s">
        <v>49</v>
      </c>
      <c r="B4" s="61" t="str">
        <f ca="1">IF(M7&lt;B5,"Not Significant",IF(M3&lt;M1,"Low Signal",IF(M3&lt;M2,"In Range",IF(M3&lt;R2,"In Range",IF(M3&lt;&gt;"—","High Signal","No Signal")))))</f>
        <v>No Signal</v>
      </c>
      <c r="C4" s="31"/>
      <c r="D4" s="167"/>
      <c r="E4" s="95">
        <v>1</v>
      </c>
      <c r="F4" s="51" t="s">
        <v>21</v>
      </c>
      <c r="G4" s="52">
        <f>HLOOKUP($B$2,Caldat!$AC$1:$AT$8,ROW(F4),FALSE)</f>
        <v>18.363060000000001</v>
      </c>
      <c r="H4" s="67">
        <f>VLOOKUP($B$2,Caldat!G$2:I$36,2,FALSE)</f>
        <v>0</v>
      </c>
      <c r="J4" s="39"/>
      <c r="K4" s="39"/>
      <c r="L4" s="48" t="s">
        <v>77</v>
      </c>
      <c r="M4" s="62">
        <f ca="1">SLOPE(INDIRECT("H"&amp;(MATCH(1,E2:E8,0)+1)&amp;":H"&amp;(MATCH(1,E2:E8,1)+1)&amp;""),INDIRECT("G"&amp;(MATCH(1,E2:E8,0)+1)&amp;":G"&amp;(MATCH(1,E2:E8,1)+1)&amp;""))</f>
        <v>0</v>
      </c>
      <c r="N4" s="39"/>
      <c r="O4" s="39"/>
      <c r="P4" s="39"/>
      <c r="Q4" s="48" t="s">
        <v>77</v>
      </c>
      <c r="R4" s="62">
        <f ca="1">SLOPE(INDIRECT("H"&amp;(MATCH(2,E2:E8,0)+1)&amp;":H"&amp;(MATCH(2,E2:E8,1)+1)&amp;""),INDIRECT("G"&amp;(MATCH(2,E2:E8,0)+1)&amp;":G"&amp;(MATCH(2,E2:E8,1)+1)&amp;""))</f>
        <v>0</v>
      </c>
    </row>
    <row r="5" spans="1:18" ht="20" customHeight="1" thickBot="1" x14ac:dyDescent="0.25">
      <c r="A5" s="35" t="s">
        <v>71</v>
      </c>
      <c r="B5" s="60">
        <f>VLOOKUP(B2,Caldat!$W$2:$Y$38,2,FALSE)</f>
        <v>5</v>
      </c>
      <c r="D5" s="168"/>
      <c r="E5" s="96">
        <v>1</v>
      </c>
      <c r="F5" s="58" t="s">
        <v>22</v>
      </c>
      <c r="G5" s="59">
        <f>HLOOKUP($B$2,Caldat!$AC$1:$AT$8,ROW(F5),FALSE)</f>
        <v>36.61036</v>
      </c>
      <c r="H5" s="68">
        <f>VLOOKUP($B$2,Caldat!J$2:L$34,2,FALSE)</f>
        <v>0</v>
      </c>
      <c r="I5" s="39"/>
      <c r="J5" s="39"/>
      <c r="K5" s="39"/>
      <c r="L5" s="48" t="s">
        <v>26</v>
      </c>
      <c r="M5" s="62">
        <f ca="1">INTERCEPT(INDIRECT("H"&amp;(MATCH(1,E2:E8,0)+1)&amp;":H"&amp;(MATCH(1,E2:E8,1)+1)&amp;""),INDIRECT("G"&amp;(MATCH(1,E2:E8,0)+1)&amp;":G"&amp;(MATCH(1,E2:E8,1)+1)&amp;""))</f>
        <v>0</v>
      </c>
      <c r="N5" s="39"/>
      <c r="O5" s="39"/>
      <c r="P5" s="39"/>
      <c r="Q5" s="48" t="s">
        <v>26</v>
      </c>
      <c r="R5" s="62">
        <f ca="1">INTERCEPT(INDIRECT("H"&amp;(MATCH(2,E2:E8,0)+1)&amp;":H"&amp;(MATCH(2,E2:E8,1)+1)&amp;""),INDIRECT("G"&amp;(MATCH(2,E2:E8,0)+1)&amp;":G"&amp;(MATCH(2,E2:E8,1)+1)&amp;""))</f>
        <v>0</v>
      </c>
    </row>
    <row r="6" spans="1:18" ht="20" customHeight="1" thickBot="1" x14ac:dyDescent="0.25">
      <c r="A6" s="36" t="s">
        <v>72</v>
      </c>
      <c r="B6" s="61">
        <f>ROUND(B5/3,2)</f>
        <v>1.67</v>
      </c>
      <c r="D6" s="163" t="s">
        <v>80</v>
      </c>
      <c r="E6" s="97">
        <v>2</v>
      </c>
      <c r="F6" s="53" t="s">
        <v>23</v>
      </c>
      <c r="G6" s="54">
        <f>HLOOKUP($B$2,Caldat!$AC$1:$AT$8,ROW(F6),FALSE)</f>
        <v>73.501310000000004</v>
      </c>
      <c r="H6" s="67">
        <f>VLOOKUP($B$2,Caldat!M$2:O$36,2,FALSE)</f>
        <v>0</v>
      </c>
      <c r="I6" s="39"/>
      <c r="J6" s="39"/>
      <c r="K6" s="39"/>
      <c r="L6" s="63" t="s">
        <v>78</v>
      </c>
      <c r="M6" s="64" t="e">
        <f ca="1">RSQ(INDIRECT("H"&amp;(MATCH(1,E2:E8,0)+1)&amp;":H"&amp;(MATCH(1,E2:E8,1)+1)&amp;""),INDIRECT("G"&amp;(MATCH(1,E2:E8,0)+1)&amp;":G"&amp;(MATCH(1,E2:E8,1)+1)&amp;""))</f>
        <v>#DIV/0!</v>
      </c>
      <c r="N6" s="41"/>
      <c r="O6" s="39"/>
      <c r="P6" s="39"/>
      <c r="Q6" s="63" t="s">
        <v>78</v>
      </c>
      <c r="R6" s="64" t="e">
        <f ca="1">RSQ(INDIRECT("H"&amp;(MATCH(2,E2:E8,0)+1)&amp;":H"&amp;(MATCH(2,E2:E8,1)+1)&amp;""),INDIRECT("G"&amp;(MATCH(2,E2:E8,0)+1)&amp;":G"&amp;(MATCH(2,E2:E8,1)+1)&amp;""))</f>
        <v>#DIV/0!</v>
      </c>
    </row>
    <row r="7" spans="1:18" ht="20" customHeight="1" thickBot="1" x14ac:dyDescent="0.25">
      <c r="D7" s="164"/>
      <c r="E7" s="98">
        <v>2</v>
      </c>
      <c r="F7" s="53" t="s">
        <v>24</v>
      </c>
      <c r="G7" s="54">
        <f>HLOOKUP($B$2,Caldat!$AC$1:$AT$8,ROW(F7),FALSE)</f>
        <v>108.889</v>
      </c>
      <c r="H7" s="67">
        <f>VLOOKUP($B$2,Caldat!P$2:R$32,2,FALSE)</f>
        <v>0</v>
      </c>
      <c r="I7" s="39"/>
      <c r="J7" s="39"/>
      <c r="K7" s="39"/>
      <c r="L7" s="65" t="s">
        <v>27</v>
      </c>
      <c r="M7" s="84" t="str">
        <f ca="1">IFERROR((M3-M5)/M4,"—")</f>
        <v>—</v>
      </c>
      <c r="N7" s="33"/>
      <c r="O7" s="33"/>
      <c r="P7" s="33"/>
      <c r="Q7" s="65" t="s">
        <v>27</v>
      </c>
      <c r="R7" s="84" t="str">
        <f ca="1">IFERROR((R3-R5)/R4,"—")</f>
        <v>—</v>
      </c>
    </row>
    <row r="8" spans="1:18" ht="20" customHeight="1" thickBot="1" x14ac:dyDescent="0.25">
      <c r="D8" s="165"/>
      <c r="E8" s="99">
        <v>2</v>
      </c>
      <c r="F8" s="55" t="s">
        <v>25</v>
      </c>
      <c r="G8" s="89">
        <f>HLOOKUP($B$2,Caldat!$AC$1:$AT$8,ROW(F8),FALSE)</f>
        <v>145.30529999999999</v>
      </c>
      <c r="H8" s="90">
        <f>VLOOKUP($B$2,Caldat!S$2:U$29,2,FALSE)</f>
        <v>0</v>
      </c>
      <c r="I8" s="39"/>
      <c r="J8" s="39"/>
      <c r="K8" s="39"/>
      <c r="M8" s="33"/>
      <c r="O8" s="33"/>
      <c r="P8" s="33"/>
      <c r="Q8" s="33"/>
      <c r="R8" s="33"/>
    </row>
  </sheetData>
  <mergeCells count="3">
    <mergeCell ref="A1:A2"/>
    <mergeCell ref="D3:D5"/>
    <mergeCell ref="D6:D8"/>
  </mergeCells>
  <pageMargins left="0.7" right="0.7" top="0.75" bottom="0.75" header="0.3" footer="0.3"/>
  <pageSetup orientation="portrait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E16B-5E1E-5147-9FB5-6AFF1C79B15F}">
  <dimension ref="A1:R8"/>
  <sheetViews>
    <sheetView zoomScale="150" zoomScaleNormal="150" workbookViewId="0">
      <selection activeCell="B3" sqref="B3:B4"/>
    </sheetView>
  </sheetViews>
  <sheetFormatPr baseColWidth="10" defaultColWidth="8.83203125" defaultRowHeight="15" x14ac:dyDescent="0.2"/>
  <cols>
    <col min="1" max="1" width="21.83203125" customWidth="1"/>
    <col min="2" max="2" width="13.1640625" customWidth="1"/>
    <col min="3" max="4" width="2.83203125" customWidth="1"/>
    <col min="5" max="5" width="7.6640625" style="100" hidden="1" customWidth="1"/>
    <col min="6" max="8" width="10.83203125" style="6" customWidth="1"/>
    <col min="9" max="9" width="15.33203125" customWidth="1"/>
    <col min="10" max="10" width="2.83203125" customWidth="1"/>
    <col min="12" max="12" width="22.83203125" bestFit="1" customWidth="1"/>
    <col min="13" max="14" width="8.83203125" style="20"/>
    <col min="15" max="15" width="2.83203125" style="20" customWidth="1"/>
    <col min="16" max="16" width="8.83203125" style="20"/>
    <col min="17" max="17" width="22.83203125" style="20" bestFit="1" customWidth="1"/>
    <col min="18" max="18" width="8.83203125" style="20"/>
  </cols>
  <sheetData>
    <row r="1" spans="1:18" ht="20" customHeight="1" thickBot="1" x14ac:dyDescent="0.25">
      <c r="A1" s="161" t="s">
        <v>32</v>
      </c>
      <c r="B1" s="42" t="s">
        <v>91</v>
      </c>
      <c r="C1" s="34"/>
      <c r="D1" s="34"/>
      <c r="E1" s="93" t="s">
        <v>85</v>
      </c>
      <c r="F1" s="37" t="s">
        <v>0</v>
      </c>
      <c r="G1" s="38" t="str">
        <f>""&amp;$B$2&amp;" ppm"</f>
        <v>Rb ppm</v>
      </c>
      <c r="H1" s="38" t="str">
        <f>""&amp;$B$2&amp;" Signal"</f>
        <v>Rb Signal</v>
      </c>
      <c r="I1" s="39"/>
      <c r="J1" s="39"/>
      <c r="K1" s="85" t="s">
        <v>29</v>
      </c>
      <c r="L1" s="47" t="s">
        <v>75</v>
      </c>
      <c r="M1" s="92" cm="1">
        <f t="array" aca="1" ref="M1" ca="1">INDIRECT("H"&amp;(MATCH(1,E2:E8,0)+1)&amp;"")</f>
        <v>0</v>
      </c>
      <c r="N1" s="39"/>
      <c r="O1" s="39"/>
      <c r="P1" s="40" t="s">
        <v>30</v>
      </c>
      <c r="Q1" s="47" t="s">
        <v>75</v>
      </c>
      <c r="R1" s="87" cm="1">
        <f t="array" aca="1" ref="R1" ca="1">INDIRECT("H"&amp;(MATCH(2,E2:E8,0)+1)&amp;"")</f>
        <v>0</v>
      </c>
    </row>
    <row r="2" spans="1:18" ht="20" customHeight="1" thickBot="1" x14ac:dyDescent="0.3">
      <c r="A2" s="162"/>
      <c r="B2" s="43" t="s">
        <v>12</v>
      </c>
      <c r="C2" s="31"/>
      <c r="D2" s="79"/>
      <c r="E2" s="79"/>
      <c r="F2" s="80" t="s">
        <v>19</v>
      </c>
      <c r="G2" s="81">
        <f>HLOOKUP($B$2,Caldat!$AC$1:$AT$8,ROW(F2),FALSE)</f>
        <v>0</v>
      </c>
      <c r="H2" s="82">
        <f>IFERROR(VLOOKUP($B$2,Caldat!A$2:C$38,2,FALSE),0)</f>
        <v>0</v>
      </c>
      <c r="I2" s="39"/>
      <c r="J2" s="39"/>
      <c r="K2" s="39"/>
      <c r="L2" s="48" t="s">
        <v>76</v>
      </c>
      <c r="M2" s="86" cm="1">
        <f t="array" aca="1" ref="M2" ca="1">INDIRECT("H"&amp;(MATCH(1,E2:E8,1)+1)&amp;"")</f>
        <v>0</v>
      </c>
      <c r="N2" s="39"/>
      <c r="O2" s="39"/>
      <c r="P2" s="39"/>
      <c r="Q2" s="48" t="s">
        <v>76</v>
      </c>
      <c r="R2" s="86" cm="1">
        <f t="array" aca="1" ref="R2" ca="1">INDIRECT("H"&amp;(MATCH(2,E2:E8,1)+1)&amp;"")</f>
        <v>0</v>
      </c>
    </row>
    <row r="3" spans="1:18" ht="20" customHeight="1" x14ac:dyDescent="0.2">
      <c r="A3" s="35" t="s">
        <v>48</v>
      </c>
      <c r="B3" s="91" t="str">
        <f ca="1">IF(M7&lt;B5,"—",IF(M3&lt;M2,M7,IF(M3&lt;R1,((M3-M2)/(R1-M2))*R7+(1-((M3-M2)/(R1-M2)))*M7,R7)))</f>
        <v>—</v>
      </c>
      <c r="C3" s="32"/>
      <c r="D3" s="167" t="s">
        <v>79</v>
      </c>
      <c r="E3" s="95">
        <v>1</v>
      </c>
      <c r="F3" s="76" t="s">
        <v>20</v>
      </c>
      <c r="G3" s="77">
        <f>HLOOKUP($B$2,Caldat!$AC$1:$AT$8,ROW(F3),FALSE)</f>
        <v>10.07198</v>
      </c>
      <c r="H3" s="78">
        <f>VLOOKUP($B$2,Caldat!D$2:F$38,2,FALSE)</f>
        <v>0</v>
      </c>
      <c r="I3" s="39"/>
      <c r="J3" s="39"/>
      <c r="K3" s="39"/>
      <c r="L3" s="47" t="s">
        <v>28</v>
      </c>
      <c r="M3" s="83" t="str">
        <f>IFERROR(VLOOKUP($B$2,Samdat!$A$4:$B$50,2,FALSE),"—")</f>
        <v>—</v>
      </c>
      <c r="N3" s="33"/>
      <c r="O3" s="33"/>
      <c r="P3" s="33"/>
      <c r="Q3" s="47" t="s">
        <v>28</v>
      </c>
      <c r="R3" s="83" t="str">
        <f>M3</f>
        <v>—</v>
      </c>
    </row>
    <row r="4" spans="1:18" ht="20" customHeight="1" thickBot="1" x14ac:dyDescent="0.25">
      <c r="A4" s="36" t="s">
        <v>49</v>
      </c>
      <c r="B4" s="61" t="str">
        <f ca="1">IF(M7&lt;B5,"Not Significant",IF(M3&lt;M1,"Low Signal",IF(M3&lt;M2,"In Range",IF(M3&lt;R2,"In Range",IF(M3&lt;&gt;"—","High Signal","No Signal")))))</f>
        <v>No Signal</v>
      </c>
      <c r="C4" s="31"/>
      <c r="D4" s="167"/>
      <c r="E4" s="95">
        <v>1</v>
      </c>
      <c r="F4" s="51" t="s">
        <v>21</v>
      </c>
      <c r="G4" s="52">
        <f>HLOOKUP($B$2,Caldat!$AC$1:$AT$8,ROW(F4),FALSE)</f>
        <v>18.363060000000001</v>
      </c>
      <c r="H4" s="67">
        <f>VLOOKUP($B$2,Caldat!G$2:I$36,2,FALSE)</f>
        <v>0</v>
      </c>
      <c r="J4" s="39"/>
      <c r="K4" s="39"/>
      <c r="L4" s="48" t="s">
        <v>77</v>
      </c>
      <c r="M4" s="62">
        <f ca="1">SLOPE(INDIRECT("H"&amp;(MATCH(1,E2:E8,0)+1)&amp;":H"&amp;(MATCH(1,E2:E8,1)+1)&amp;""),INDIRECT("G"&amp;(MATCH(1,E2:E8,0)+1)&amp;":G"&amp;(MATCH(1,E2:E8,1)+1)&amp;""))</f>
        <v>0</v>
      </c>
      <c r="N4" s="39"/>
      <c r="O4" s="39"/>
      <c r="P4" s="39"/>
      <c r="Q4" s="48" t="s">
        <v>77</v>
      </c>
      <c r="R4" s="62">
        <f ca="1">SLOPE(INDIRECT("H"&amp;(MATCH(2,E2:E8,0)+1)&amp;":H"&amp;(MATCH(2,E2:E8,1)+1)&amp;""),INDIRECT("G"&amp;(MATCH(2,E2:E8,0)+1)&amp;":G"&amp;(MATCH(2,E2:E8,1)+1)&amp;""))</f>
        <v>0</v>
      </c>
    </row>
    <row r="5" spans="1:18" ht="20" customHeight="1" thickBot="1" x14ac:dyDescent="0.25">
      <c r="A5" s="35" t="s">
        <v>71</v>
      </c>
      <c r="B5" s="60">
        <f>VLOOKUP(B2,Caldat!$W$2:$Y$38,2,FALSE)</f>
        <v>4</v>
      </c>
      <c r="D5" s="168"/>
      <c r="E5" s="96">
        <v>1</v>
      </c>
      <c r="F5" s="58" t="s">
        <v>22</v>
      </c>
      <c r="G5" s="59">
        <f>HLOOKUP($B$2,Caldat!$AC$1:$AT$8,ROW(F5),FALSE)</f>
        <v>36.61036</v>
      </c>
      <c r="H5" s="68">
        <f>VLOOKUP($B$2,Caldat!J$2:L$34,2,FALSE)</f>
        <v>0</v>
      </c>
      <c r="I5" s="39"/>
      <c r="J5" s="39"/>
      <c r="K5" s="39"/>
      <c r="L5" s="48" t="s">
        <v>26</v>
      </c>
      <c r="M5" s="62">
        <f ca="1">INTERCEPT(INDIRECT("H"&amp;(MATCH(1,E2:E8,0)+1)&amp;":H"&amp;(MATCH(1,E2:E8,1)+1)&amp;""),INDIRECT("G"&amp;(MATCH(1,E2:E8,0)+1)&amp;":G"&amp;(MATCH(1,E2:E8,1)+1)&amp;""))</f>
        <v>0</v>
      </c>
      <c r="N5" s="39"/>
      <c r="O5" s="39"/>
      <c r="P5" s="39"/>
      <c r="Q5" s="48" t="s">
        <v>26</v>
      </c>
      <c r="R5" s="62">
        <f ca="1">INTERCEPT(INDIRECT("H"&amp;(MATCH(2,E2:E8,0)+1)&amp;":H"&amp;(MATCH(2,E2:E8,1)+1)&amp;""),INDIRECT("G"&amp;(MATCH(2,E2:E8,0)+1)&amp;":G"&amp;(MATCH(2,E2:E8,1)+1)&amp;""))</f>
        <v>0</v>
      </c>
    </row>
    <row r="6" spans="1:18" ht="20" customHeight="1" thickBot="1" x14ac:dyDescent="0.25">
      <c r="A6" s="36" t="s">
        <v>72</v>
      </c>
      <c r="B6" s="61">
        <f>ROUND(B5/3,2)</f>
        <v>1.33</v>
      </c>
      <c r="D6" s="163" t="s">
        <v>80</v>
      </c>
      <c r="E6" s="97">
        <v>2</v>
      </c>
      <c r="F6" s="53" t="s">
        <v>23</v>
      </c>
      <c r="G6" s="54">
        <f>HLOOKUP($B$2,Caldat!$AC$1:$AT$8,ROW(F6),FALSE)</f>
        <v>73.501310000000004</v>
      </c>
      <c r="H6" s="67">
        <f>VLOOKUP($B$2,Caldat!M$2:O$36,2,FALSE)</f>
        <v>0</v>
      </c>
      <c r="I6" s="39"/>
      <c r="J6" s="39"/>
      <c r="K6" s="39"/>
      <c r="L6" s="63" t="s">
        <v>78</v>
      </c>
      <c r="M6" s="64" t="e">
        <f ca="1">RSQ(INDIRECT("H"&amp;(MATCH(1,E2:E8,0)+1)&amp;":H"&amp;(MATCH(1,E2:E8,1)+1)&amp;""),INDIRECT("G"&amp;(MATCH(1,E2:E8,0)+1)&amp;":G"&amp;(MATCH(1,E2:E8,1)+1)&amp;""))</f>
        <v>#DIV/0!</v>
      </c>
      <c r="N6" s="41"/>
      <c r="O6" s="39"/>
      <c r="P6" s="39"/>
      <c r="Q6" s="63" t="s">
        <v>78</v>
      </c>
      <c r="R6" s="64" t="e">
        <f ca="1">RSQ(INDIRECT("H"&amp;(MATCH(2,E2:E8,0)+1)&amp;":H"&amp;(MATCH(2,E2:E8,1)+1)&amp;""),INDIRECT("G"&amp;(MATCH(2,E2:E8,0)+1)&amp;":G"&amp;(MATCH(2,E2:E8,1)+1)&amp;""))</f>
        <v>#DIV/0!</v>
      </c>
    </row>
    <row r="7" spans="1:18" ht="20" customHeight="1" thickBot="1" x14ac:dyDescent="0.25">
      <c r="D7" s="164"/>
      <c r="E7" s="98">
        <v>2</v>
      </c>
      <c r="F7" s="53" t="s">
        <v>24</v>
      </c>
      <c r="G7" s="54">
        <f>HLOOKUP($B$2,Caldat!$AC$1:$AT$8,ROW(F7),FALSE)</f>
        <v>108.889</v>
      </c>
      <c r="H7" s="67">
        <f>VLOOKUP($B$2,Caldat!P$2:R$32,2,FALSE)</f>
        <v>0</v>
      </c>
      <c r="I7" s="39"/>
      <c r="J7" s="39"/>
      <c r="K7" s="39"/>
      <c r="L7" s="65" t="s">
        <v>27</v>
      </c>
      <c r="M7" s="84" t="str">
        <f ca="1">IFERROR((M3-M5)/M4,"—")</f>
        <v>—</v>
      </c>
      <c r="N7" s="33"/>
      <c r="O7" s="33"/>
      <c r="P7" s="33"/>
      <c r="Q7" s="65" t="s">
        <v>27</v>
      </c>
      <c r="R7" s="84" t="str">
        <f ca="1">IFERROR((R3-R5)/R4,"—")</f>
        <v>—</v>
      </c>
    </row>
    <row r="8" spans="1:18" ht="20" customHeight="1" thickBot="1" x14ac:dyDescent="0.25">
      <c r="D8" s="165"/>
      <c r="E8" s="99">
        <v>2</v>
      </c>
      <c r="F8" s="55" t="s">
        <v>25</v>
      </c>
      <c r="G8" s="89">
        <f>HLOOKUP($B$2,Caldat!$AC$1:$AT$8,ROW(F8),FALSE)</f>
        <v>145.30529999999999</v>
      </c>
      <c r="H8" s="90">
        <f>VLOOKUP($B$2,Caldat!S$2:U$29,2,FALSE)</f>
        <v>0</v>
      </c>
      <c r="I8" s="39"/>
      <c r="J8" s="39"/>
      <c r="K8" s="39"/>
      <c r="M8" s="33"/>
      <c r="O8" s="33"/>
      <c r="P8" s="33"/>
      <c r="Q8" s="33"/>
      <c r="R8" s="33"/>
    </row>
  </sheetData>
  <mergeCells count="3">
    <mergeCell ref="A1:A2"/>
    <mergeCell ref="D3:D5"/>
    <mergeCell ref="D6:D8"/>
  </mergeCells>
  <pageMargins left="0.7" right="0.7" top="0.75" bottom="0.75" header="0.3" footer="0.3"/>
  <pageSetup orientation="portrait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FB47-4F4C-2643-956F-220F1555A923}">
  <dimension ref="A1:R8"/>
  <sheetViews>
    <sheetView zoomScale="150" zoomScaleNormal="150" workbookViewId="0">
      <selection activeCell="B3" sqref="B3:B4"/>
    </sheetView>
  </sheetViews>
  <sheetFormatPr baseColWidth="10" defaultColWidth="8.83203125" defaultRowHeight="15" x14ac:dyDescent="0.2"/>
  <cols>
    <col min="1" max="1" width="21.83203125" customWidth="1"/>
    <col min="2" max="2" width="13.1640625" customWidth="1"/>
    <col min="3" max="4" width="2.83203125" customWidth="1"/>
    <col min="5" max="5" width="7.6640625" style="100" hidden="1" customWidth="1"/>
    <col min="6" max="8" width="10.83203125" style="6" customWidth="1"/>
    <col min="9" max="9" width="15.33203125" customWidth="1"/>
    <col min="10" max="10" width="2.83203125" customWidth="1"/>
    <col min="12" max="12" width="22.83203125" bestFit="1" customWidth="1"/>
    <col min="13" max="14" width="8.83203125" style="20"/>
    <col min="15" max="15" width="2.83203125" style="20" customWidth="1"/>
    <col min="16" max="16" width="8.83203125" style="20"/>
    <col min="17" max="17" width="22.83203125" style="20" bestFit="1" customWidth="1"/>
    <col min="18" max="18" width="8.83203125" style="20"/>
  </cols>
  <sheetData>
    <row r="1" spans="1:18" ht="20" customHeight="1" thickBot="1" x14ac:dyDescent="0.25">
      <c r="A1" s="161" t="s">
        <v>32</v>
      </c>
      <c r="B1" s="42" t="s">
        <v>92</v>
      </c>
      <c r="C1" s="34"/>
      <c r="D1" s="34"/>
      <c r="E1" s="93" t="s">
        <v>85</v>
      </c>
      <c r="F1" s="37" t="s">
        <v>0</v>
      </c>
      <c r="G1" s="38" t="str">
        <f>""&amp;$B$2&amp;" ppm"</f>
        <v>Sr ppm</v>
      </c>
      <c r="H1" s="38" t="str">
        <f>""&amp;$B$2&amp;" Signal"</f>
        <v>Sr Signal</v>
      </c>
      <c r="I1" s="39"/>
      <c r="J1" s="39"/>
      <c r="K1" s="85" t="s">
        <v>29</v>
      </c>
      <c r="L1" s="47" t="s">
        <v>75</v>
      </c>
      <c r="M1" s="92" cm="1">
        <f t="array" aca="1" ref="M1" ca="1">INDIRECT("H"&amp;(MATCH(1,E2:E8,0)+1)&amp;"")</f>
        <v>0</v>
      </c>
      <c r="N1" s="39"/>
      <c r="O1" s="39"/>
      <c r="P1" s="40" t="s">
        <v>30</v>
      </c>
      <c r="Q1" s="47" t="s">
        <v>75</v>
      </c>
      <c r="R1" s="87" cm="1">
        <f t="array" aca="1" ref="R1" ca="1">INDIRECT("H"&amp;(MATCH(2,E2:E8,0)+1)&amp;"")</f>
        <v>0</v>
      </c>
    </row>
    <row r="2" spans="1:18" ht="20" customHeight="1" thickBot="1" x14ac:dyDescent="0.3">
      <c r="A2" s="162"/>
      <c r="B2" s="43" t="s">
        <v>13</v>
      </c>
      <c r="C2" s="31"/>
      <c r="D2" s="79"/>
      <c r="E2" s="79"/>
      <c r="F2" s="80" t="s">
        <v>19</v>
      </c>
      <c r="G2" s="81">
        <f>HLOOKUP($B$2,Caldat!$AC$1:$AT$8,ROW(F2),FALSE)</f>
        <v>0</v>
      </c>
      <c r="H2" s="82">
        <f>IFERROR(VLOOKUP($B$2,Caldat!A$2:C$38,2,FALSE),0)</f>
        <v>0</v>
      </c>
      <c r="I2" s="39"/>
      <c r="J2" s="39"/>
      <c r="K2" s="39"/>
      <c r="L2" s="48" t="s">
        <v>76</v>
      </c>
      <c r="M2" s="86" cm="1">
        <f t="array" aca="1" ref="M2" ca="1">INDIRECT("H"&amp;(MATCH(1,E2:E8,1)+1)&amp;"")</f>
        <v>0</v>
      </c>
      <c r="N2" s="39"/>
      <c r="O2" s="39"/>
      <c r="P2" s="39"/>
      <c r="Q2" s="48" t="s">
        <v>76</v>
      </c>
      <c r="R2" s="86" cm="1">
        <f t="array" aca="1" ref="R2" ca="1">INDIRECT("H"&amp;(MATCH(2,E2:E8,1)+1)&amp;"")</f>
        <v>0</v>
      </c>
    </row>
    <row r="3" spans="1:18" ht="20" customHeight="1" x14ac:dyDescent="0.2">
      <c r="A3" s="35" t="s">
        <v>48</v>
      </c>
      <c r="B3" s="91" t="str">
        <f ca="1">IF(M7&lt;B5,"—",IF(M3&lt;M2,M7,IF(M3&lt;R1,((M3-M2)/(R1-M2))*R7+(1-((M3-M2)/(R1-M2)))*M7,R7)))</f>
        <v>—</v>
      </c>
      <c r="C3" s="32"/>
      <c r="D3" s="167" t="s">
        <v>79</v>
      </c>
      <c r="E3" s="95">
        <v>1</v>
      </c>
      <c r="F3" s="76" t="s">
        <v>20</v>
      </c>
      <c r="G3" s="77">
        <f>HLOOKUP($B$2,Caldat!$AC$1:$AT$8,ROW(F3),FALSE)</f>
        <v>10.07198</v>
      </c>
      <c r="H3" s="78">
        <f>VLOOKUP($B$2,Caldat!D$2:F$38,2,FALSE)</f>
        <v>0</v>
      </c>
      <c r="I3" s="39"/>
      <c r="J3" s="39"/>
      <c r="K3" s="39"/>
      <c r="L3" s="47" t="s">
        <v>28</v>
      </c>
      <c r="M3" s="83" t="str">
        <f>IFERROR(VLOOKUP($B$2,Samdat!$A$4:$B$50,2,FALSE),"—")</f>
        <v>—</v>
      </c>
      <c r="N3" s="33"/>
      <c r="O3" s="33"/>
      <c r="P3" s="33"/>
      <c r="Q3" s="47" t="s">
        <v>28</v>
      </c>
      <c r="R3" s="83" t="str">
        <f>M3</f>
        <v>—</v>
      </c>
    </row>
    <row r="4" spans="1:18" ht="20" customHeight="1" thickBot="1" x14ac:dyDescent="0.25">
      <c r="A4" s="36" t="s">
        <v>49</v>
      </c>
      <c r="B4" s="61" t="str">
        <f ca="1">IF(M7&lt;B5,"Not Significant",IF(M3&lt;M1,"Low Signal",IF(M3&lt;M2,"In Range",IF(M3&lt;R2,"In Range",IF(M3&lt;&gt;"—","High Signal","No Signal")))))</f>
        <v>No Signal</v>
      </c>
      <c r="C4" s="31"/>
      <c r="D4" s="167"/>
      <c r="E4" s="95">
        <v>1</v>
      </c>
      <c r="F4" s="51" t="s">
        <v>21</v>
      </c>
      <c r="G4" s="52">
        <f>HLOOKUP($B$2,Caldat!$AC$1:$AT$8,ROW(F4),FALSE)</f>
        <v>18.363060000000001</v>
      </c>
      <c r="H4" s="67">
        <f>VLOOKUP($B$2,Caldat!G$2:I$36,2,FALSE)</f>
        <v>0</v>
      </c>
      <c r="J4" s="39"/>
      <c r="K4" s="39"/>
      <c r="L4" s="48" t="s">
        <v>77</v>
      </c>
      <c r="M4" s="62">
        <f ca="1">SLOPE(INDIRECT("H"&amp;(MATCH(1,E2:E8,0)+1)&amp;":H"&amp;(MATCH(1,E2:E8,1)+1)&amp;""),INDIRECT("G"&amp;(MATCH(1,E2:E8,0)+1)&amp;":G"&amp;(MATCH(1,E2:E8,1)+1)&amp;""))</f>
        <v>0</v>
      </c>
      <c r="N4" s="39"/>
      <c r="O4" s="39"/>
      <c r="P4" s="39"/>
      <c r="Q4" s="48" t="s">
        <v>77</v>
      </c>
      <c r="R4" s="62">
        <f ca="1">SLOPE(INDIRECT("H"&amp;(MATCH(2,E2:E8,0)+1)&amp;":H"&amp;(MATCH(2,E2:E8,1)+1)&amp;""),INDIRECT("G"&amp;(MATCH(2,E2:E8,0)+1)&amp;":G"&amp;(MATCH(2,E2:E8,1)+1)&amp;""))</f>
        <v>0</v>
      </c>
    </row>
    <row r="5" spans="1:18" ht="20" customHeight="1" thickBot="1" x14ac:dyDescent="0.25">
      <c r="A5" s="35" t="s">
        <v>71</v>
      </c>
      <c r="B5" s="60">
        <f>VLOOKUP(B2,Caldat!$W$2:$Y$38,2,FALSE)</f>
        <v>3</v>
      </c>
      <c r="D5" s="168"/>
      <c r="E5" s="96">
        <v>1</v>
      </c>
      <c r="F5" s="58" t="s">
        <v>22</v>
      </c>
      <c r="G5" s="59">
        <f>HLOOKUP($B$2,Caldat!$AC$1:$AT$8,ROW(F5),FALSE)</f>
        <v>36.61036</v>
      </c>
      <c r="H5" s="68">
        <f>VLOOKUP($B$2,Caldat!J$2:L$34,2,FALSE)</f>
        <v>0</v>
      </c>
      <c r="I5" s="39"/>
      <c r="J5" s="39"/>
      <c r="K5" s="39"/>
      <c r="L5" s="48" t="s">
        <v>26</v>
      </c>
      <c r="M5" s="62">
        <f ca="1">INTERCEPT(INDIRECT("H"&amp;(MATCH(1,E2:E8,0)+1)&amp;":H"&amp;(MATCH(1,E2:E8,1)+1)&amp;""),INDIRECT("G"&amp;(MATCH(1,E2:E8,0)+1)&amp;":G"&amp;(MATCH(1,E2:E8,1)+1)&amp;""))</f>
        <v>0</v>
      </c>
      <c r="N5" s="39"/>
      <c r="O5" s="39"/>
      <c r="P5" s="39"/>
      <c r="Q5" s="48" t="s">
        <v>26</v>
      </c>
      <c r="R5" s="62">
        <f ca="1">INTERCEPT(INDIRECT("H"&amp;(MATCH(2,E2:E8,0)+1)&amp;":H"&amp;(MATCH(2,E2:E8,1)+1)&amp;""),INDIRECT("G"&amp;(MATCH(2,E2:E8,0)+1)&amp;":G"&amp;(MATCH(2,E2:E8,1)+1)&amp;""))</f>
        <v>0</v>
      </c>
    </row>
    <row r="6" spans="1:18" ht="20" customHeight="1" thickBot="1" x14ac:dyDescent="0.25">
      <c r="A6" s="36" t="s">
        <v>72</v>
      </c>
      <c r="B6" s="61">
        <f>ROUND(B5/3,2)</f>
        <v>1</v>
      </c>
      <c r="D6" s="163" t="s">
        <v>80</v>
      </c>
      <c r="E6" s="97">
        <v>2</v>
      </c>
      <c r="F6" s="53" t="s">
        <v>23</v>
      </c>
      <c r="G6" s="54">
        <f>HLOOKUP($B$2,Caldat!$AC$1:$AT$8,ROW(F6),FALSE)</f>
        <v>73.501310000000004</v>
      </c>
      <c r="H6" s="67">
        <f>VLOOKUP($B$2,Caldat!M$2:O$36,2,FALSE)</f>
        <v>0</v>
      </c>
      <c r="I6" s="39"/>
      <c r="J6" s="39"/>
      <c r="K6" s="39"/>
      <c r="L6" s="63" t="s">
        <v>78</v>
      </c>
      <c r="M6" s="64" t="e">
        <f ca="1">RSQ(INDIRECT("H"&amp;(MATCH(1,E2:E8,0)+1)&amp;":H"&amp;(MATCH(1,E2:E8,1)+1)&amp;""),INDIRECT("G"&amp;(MATCH(1,E2:E8,0)+1)&amp;":G"&amp;(MATCH(1,E2:E8,1)+1)&amp;""))</f>
        <v>#DIV/0!</v>
      </c>
      <c r="N6" s="41"/>
      <c r="O6" s="39"/>
      <c r="P6" s="39"/>
      <c r="Q6" s="63" t="s">
        <v>78</v>
      </c>
      <c r="R6" s="64" t="e">
        <f ca="1">RSQ(INDIRECT("H"&amp;(MATCH(2,E2:E8,0)+1)&amp;":H"&amp;(MATCH(2,E2:E8,1)+1)&amp;""),INDIRECT("G"&amp;(MATCH(2,E2:E8,0)+1)&amp;":G"&amp;(MATCH(2,E2:E8,1)+1)&amp;""))</f>
        <v>#DIV/0!</v>
      </c>
    </row>
    <row r="7" spans="1:18" ht="20" customHeight="1" thickBot="1" x14ac:dyDescent="0.25">
      <c r="D7" s="164"/>
      <c r="E7" s="98">
        <v>2</v>
      </c>
      <c r="F7" s="53" t="s">
        <v>24</v>
      </c>
      <c r="G7" s="54">
        <f>HLOOKUP($B$2,Caldat!$AC$1:$AT$8,ROW(F7),FALSE)</f>
        <v>108.889</v>
      </c>
      <c r="H7" s="67">
        <f>VLOOKUP($B$2,Caldat!P$2:R$32,2,FALSE)</f>
        <v>0</v>
      </c>
      <c r="I7" s="39"/>
      <c r="J7" s="39"/>
      <c r="K7" s="39"/>
      <c r="L7" s="65" t="s">
        <v>27</v>
      </c>
      <c r="M7" s="84" t="str">
        <f ca="1">IFERROR((M3-M5)/M4,"—")</f>
        <v>—</v>
      </c>
      <c r="N7" s="33"/>
      <c r="O7" s="33"/>
      <c r="P7" s="33"/>
      <c r="Q7" s="65" t="s">
        <v>27</v>
      </c>
      <c r="R7" s="84" t="str">
        <f ca="1">IFERROR((R3-R5)/R4,"—")</f>
        <v>—</v>
      </c>
    </row>
    <row r="8" spans="1:18" ht="20" customHeight="1" thickBot="1" x14ac:dyDescent="0.25">
      <c r="D8" s="165"/>
      <c r="E8" s="99">
        <v>2</v>
      </c>
      <c r="F8" s="55" t="s">
        <v>25</v>
      </c>
      <c r="G8" s="89">
        <f>HLOOKUP($B$2,Caldat!$AC$1:$AT$8,ROW(F8),FALSE)</f>
        <v>145.30529999999999</v>
      </c>
      <c r="H8" s="90">
        <f>VLOOKUP($B$2,Caldat!S$2:U$29,2,FALSE)</f>
        <v>0</v>
      </c>
      <c r="I8" s="39"/>
      <c r="J8" s="39"/>
      <c r="K8" s="39"/>
      <c r="M8" s="33"/>
      <c r="O8" s="33"/>
      <c r="P8" s="33"/>
      <c r="Q8" s="33"/>
      <c r="R8" s="33"/>
    </row>
  </sheetData>
  <mergeCells count="3">
    <mergeCell ref="A1:A2"/>
    <mergeCell ref="D3:D5"/>
    <mergeCell ref="D6:D8"/>
  </mergeCells>
  <pageMargins left="0.7" right="0.7" top="0.75" bottom="0.75" header="0.3" footer="0.3"/>
  <pageSetup orientation="portrait" horizontalDpi="0" verticalDpi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0E625-11A1-1B4E-8E6C-6C7A1B786A04}">
  <dimension ref="A1:R8"/>
  <sheetViews>
    <sheetView zoomScale="150" zoomScaleNormal="150" workbookViewId="0">
      <selection activeCell="C14" sqref="C14"/>
    </sheetView>
  </sheetViews>
  <sheetFormatPr baseColWidth="10" defaultColWidth="8.83203125" defaultRowHeight="15" x14ac:dyDescent="0.2"/>
  <cols>
    <col min="1" max="1" width="21.83203125" customWidth="1"/>
    <col min="2" max="2" width="13.1640625" customWidth="1"/>
    <col min="3" max="4" width="2.83203125" customWidth="1"/>
    <col min="5" max="5" width="7.6640625" style="100" hidden="1" customWidth="1"/>
    <col min="6" max="8" width="10.83203125" style="6" customWidth="1"/>
    <col min="9" max="9" width="15.33203125" customWidth="1"/>
    <col min="10" max="10" width="2.83203125" customWidth="1"/>
    <col min="12" max="12" width="22.83203125" bestFit="1" customWidth="1"/>
    <col min="13" max="14" width="8.83203125" style="20"/>
    <col min="15" max="15" width="2.83203125" style="20" customWidth="1"/>
    <col min="16" max="16" width="8.83203125" style="20"/>
    <col min="17" max="17" width="22.83203125" style="20" bestFit="1" customWidth="1"/>
    <col min="18" max="18" width="8.83203125" style="20"/>
  </cols>
  <sheetData>
    <row r="1" spans="1:18" ht="20" customHeight="1" thickBot="1" x14ac:dyDescent="0.25">
      <c r="A1" s="161" t="s">
        <v>32</v>
      </c>
      <c r="B1" s="42" t="s">
        <v>93</v>
      </c>
      <c r="C1" s="34"/>
      <c r="D1" s="34"/>
      <c r="E1" s="93" t="s">
        <v>85</v>
      </c>
      <c r="F1" s="37" t="s">
        <v>0</v>
      </c>
      <c r="G1" s="38" t="str">
        <f>""&amp;$B$2&amp;" ppm"</f>
        <v>Mo ppm</v>
      </c>
      <c r="H1" s="38" t="str">
        <f>""&amp;$B$2&amp;" Signal"</f>
        <v>Mo Signal</v>
      </c>
      <c r="I1" s="39"/>
      <c r="J1" s="39"/>
      <c r="K1" s="85" t="s">
        <v>29</v>
      </c>
      <c r="L1" s="47" t="s">
        <v>75</v>
      </c>
      <c r="M1" s="92" cm="1">
        <f t="array" aca="1" ref="M1" ca="1">INDIRECT("H"&amp;(MATCH(1,E2:E8,0)+1)&amp;"")</f>
        <v>0</v>
      </c>
      <c r="N1" s="39"/>
      <c r="O1" s="39"/>
      <c r="P1" s="40" t="s">
        <v>30</v>
      </c>
      <c r="Q1" s="47" t="s">
        <v>75</v>
      </c>
      <c r="R1" s="87" cm="1">
        <f t="array" aca="1" ref="R1" ca="1">INDIRECT("H"&amp;(MATCH(2,E2:E8,0)+1)&amp;"")</f>
        <v>0</v>
      </c>
    </row>
    <row r="2" spans="1:18" ht="20" customHeight="1" thickBot="1" x14ac:dyDescent="0.3">
      <c r="A2" s="162"/>
      <c r="B2" s="43" t="s">
        <v>14</v>
      </c>
      <c r="C2" s="31"/>
      <c r="D2" s="79"/>
      <c r="E2" s="79"/>
      <c r="F2" s="80" t="s">
        <v>19</v>
      </c>
      <c r="G2" s="81">
        <f>HLOOKUP($B$2,Caldat!$AC$1:$AT$8,ROW(F2),FALSE)</f>
        <v>0</v>
      </c>
      <c r="H2" s="82">
        <f>IFERROR(VLOOKUP($B$2,Caldat!A$2:C$38,2,FALSE),0)</f>
        <v>0</v>
      </c>
      <c r="I2" s="39"/>
      <c r="J2" s="39"/>
      <c r="K2" s="39"/>
      <c r="L2" s="48" t="s">
        <v>76</v>
      </c>
      <c r="M2" s="86" cm="1">
        <f t="array" aca="1" ref="M2" ca="1">INDIRECT("H"&amp;(MATCH(1,E2:E8,1)+1)&amp;"")</f>
        <v>0</v>
      </c>
      <c r="N2" s="39"/>
      <c r="O2" s="39"/>
      <c r="P2" s="39"/>
      <c r="Q2" s="48" t="s">
        <v>76</v>
      </c>
      <c r="R2" s="86" cm="1">
        <f t="array" aca="1" ref="R2" ca="1">INDIRECT("H"&amp;(MATCH(2,E2:E8,1)+1)&amp;"")</f>
        <v>0</v>
      </c>
    </row>
    <row r="3" spans="1:18" ht="20" customHeight="1" x14ac:dyDescent="0.2">
      <c r="A3" s="35" t="s">
        <v>48</v>
      </c>
      <c r="B3" s="91" t="str">
        <f ca="1">IF(M7&lt;B5,"—",IF(M3&lt;M2,M7,IF(M3&lt;R1,((M3-M2)/(R1-M2))*R7+(1-((M3-M2)/(R1-M2)))*M7,R7)))</f>
        <v>—</v>
      </c>
      <c r="C3" s="32"/>
      <c r="D3" s="166" t="s">
        <v>79</v>
      </c>
      <c r="E3" s="95">
        <v>1</v>
      </c>
      <c r="F3" s="76" t="s">
        <v>20</v>
      </c>
      <c r="G3" s="77">
        <f>HLOOKUP($B$2,Caldat!$AC$1:$AT$8,ROW(F3),FALSE)</f>
        <v>10.07198</v>
      </c>
      <c r="H3" s="78">
        <f>IFERROR(VLOOKUP($B$2,Caldat!D$2:F$38,2,FALSE),0)</f>
        <v>0</v>
      </c>
      <c r="I3" s="39"/>
      <c r="J3" s="39"/>
      <c r="K3" s="39"/>
      <c r="L3" s="47" t="s">
        <v>28</v>
      </c>
      <c r="M3" s="83" t="str">
        <f>IFERROR(VLOOKUP($B$2,Samdat!$A$4:$B$50,2,FALSE),"—")</f>
        <v>—</v>
      </c>
      <c r="N3" s="33"/>
      <c r="O3" s="33"/>
      <c r="P3" s="33"/>
      <c r="Q3" s="47" t="s">
        <v>28</v>
      </c>
      <c r="R3" s="83" t="str">
        <f>M3</f>
        <v>—</v>
      </c>
    </row>
    <row r="4" spans="1:18" ht="20" customHeight="1" thickBot="1" x14ac:dyDescent="0.25">
      <c r="A4" s="36" t="s">
        <v>49</v>
      </c>
      <c r="B4" s="61" t="str">
        <f ca="1">IF(M7&lt;B5,"Not Significant",IF(M3&lt;M1,"Low Signal",IF(M3&lt;M2,"In Range",IF(M3&lt;R2,"In Range",IF(M3&lt;&gt;"—","High Signal","No Signal")))))</f>
        <v>No Signal</v>
      </c>
      <c r="C4" s="31"/>
      <c r="D4" s="167"/>
      <c r="E4" s="95">
        <v>1</v>
      </c>
      <c r="F4" s="51" t="s">
        <v>21</v>
      </c>
      <c r="G4" s="52">
        <f>HLOOKUP($B$2,Caldat!$AC$1:$AT$8,ROW(F4),FALSE)</f>
        <v>18.363060000000001</v>
      </c>
      <c r="H4" s="67">
        <f>VLOOKUP($B$2,Caldat!G$2:I$36,2,FALSE)</f>
        <v>0</v>
      </c>
      <c r="J4" s="39"/>
      <c r="K4" s="39"/>
      <c r="L4" s="48" t="s">
        <v>77</v>
      </c>
      <c r="M4" s="62">
        <f ca="1">SLOPE(INDIRECT("H"&amp;(MATCH(1,E2:E8,0)+1)&amp;":H"&amp;(MATCH(1,E2:E8,1)+1)&amp;""),INDIRECT("G"&amp;(MATCH(1,E2:E8,0)+1)&amp;":G"&amp;(MATCH(1,E2:E8,1)+1)&amp;""))</f>
        <v>0</v>
      </c>
      <c r="N4" s="39"/>
      <c r="O4" s="39"/>
      <c r="P4" s="39"/>
      <c r="Q4" s="48" t="s">
        <v>77</v>
      </c>
      <c r="R4" s="62">
        <f ca="1">SLOPE(INDIRECT("H"&amp;(MATCH(2,E2:E8,0)+1)&amp;":H"&amp;(MATCH(2,E2:E8,1)+1)&amp;""),INDIRECT("G"&amp;(MATCH(2,E2:E8,0)+1)&amp;":G"&amp;(MATCH(2,E2:E8,1)+1)&amp;""))</f>
        <v>0</v>
      </c>
    </row>
    <row r="5" spans="1:18" ht="20" customHeight="1" thickBot="1" x14ac:dyDescent="0.25">
      <c r="A5" s="35" t="s">
        <v>71</v>
      </c>
      <c r="B5" s="60">
        <f>VLOOKUP(B2,Caldat!$W$2:$Y$38,2,FALSE)</f>
        <v>3</v>
      </c>
      <c r="D5" s="168"/>
      <c r="E5" s="96">
        <v>1</v>
      </c>
      <c r="F5" s="58" t="s">
        <v>22</v>
      </c>
      <c r="G5" s="59">
        <f>HLOOKUP($B$2,Caldat!$AC$1:$AT$8,ROW(F5),FALSE)</f>
        <v>36.61036</v>
      </c>
      <c r="H5" s="68">
        <f>VLOOKUP($B$2,Caldat!J$2:L$34,2,FALSE)</f>
        <v>0</v>
      </c>
      <c r="I5" s="39"/>
      <c r="J5" s="39"/>
      <c r="K5" s="39"/>
      <c r="L5" s="48" t="s">
        <v>26</v>
      </c>
      <c r="M5" s="62">
        <f ca="1">INTERCEPT(INDIRECT("H"&amp;(MATCH(1,E2:E8,0)+1)&amp;":H"&amp;(MATCH(1,E2:E8,1)+1)&amp;""),INDIRECT("G"&amp;(MATCH(1,E2:E8,0)+1)&amp;":G"&amp;(MATCH(1,E2:E8,1)+1)&amp;""))</f>
        <v>0</v>
      </c>
      <c r="N5" s="39"/>
      <c r="O5" s="39"/>
      <c r="P5" s="39"/>
      <c r="Q5" s="48" t="s">
        <v>26</v>
      </c>
      <c r="R5" s="62">
        <f ca="1">INTERCEPT(INDIRECT("H"&amp;(MATCH(2,E2:E8,0)+1)&amp;":H"&amp;(MATCH(2,E2:E8,1)+1)&amp;""),INDIRECT("G"&amp;(MATCH(2,E2:E8,0)+1)&amp;":G"&amp;(MATCH(2,E2:E8,1)+1)&amp;""))</f>
        <v>0</v>
      </c>
    </row>
    <row r="6" spans="1:18" ht="20" customHeight="1" thickBot="1" x14ac:dyDescent="0.25">
      <c r="A6" s="36" t="s">
        <v>72</v>
      </c>
      <c r="B6" s="61">
        <f>ROUND(B5/3,2)</f>
        <v>1</v>
      </c>
      <c r="D6" s="163" t="s">
        <v>80</v>
      </c>
      <c r="E6" s="97">
        <v>2</v>
      </c>
      <c r="F6" s="53" t="s">
        <v>23</v>
      </c>
      <c r="G6" s="54">
        <f>HLOOKUP($B$2,Caldat!$AC$1:$AT$8,ROW(F6),FALSE)</f>
        <v>73.501310000000004</v>
      </c>
      <c r="H6" s="67">
        <f>VLOOKUP($B$2,Caldat!M$2:O$36,2,FALSE)</f>
        <v>0</v>
      </c>
      <c r="I6" s="39"/>
      <c r="J6" s="39"/>
      <c r="K6" s="39"/>
      <c r="L6" s="63" t="s">
        <v>78</v>
      </c>
      <c r="M6" s="64" t="e">
        <f ca="1">RSQ(INDIRECT("H"&amp;(MATCH(1,E2:E8,0)+1)&amp;":H"&amp;(MATCH(1,E2:E8,1)+1)&amp;""),INDIRECT("G"&amp;(MATCH(1,E2:E8,0)+1)&amp;":G"&amp;(MATCH(1,E2:E8,1)+1)&amp;""))</f>
        <v>#DIV/0!</v>
      </c>
      <c r="N6" s="41"/>
      <c r="O6" s="39"/>
      <c r="P6" s="39"/>
      <c r="Q6" s="63" t="s">
        <v>78</v>
      </c>
      <c r="R6" s="64" t="e">
        <f ca="1">RSQ(INDIRECT("H"&amp;(MATCH(2,E2:E8,0)+1)&amp;":H"&amp;(MATCH(2,E2:E8,1)+1)&amp;""),INDIRECT("G"&amp;(MATCH(2,E2:E8,0)+1)&amp;":G"&amp;(MATCH(2,E2:E8,1)+1)&amp;""))</f>
        <v>#DIV/0!</v>
      </c>
    </row>
    <row r="7" spans="1:18" ht="20" customHeight="1" thickBot="1" x14ac:dyDescent="0.25">
      <c r="D7" s="164"/>
      <c r="E7" s="98">
        <v>2</v>
      </c>
      <c r="F7" s="53" t="s">
        <v>24</v>
      </c>
      <c r="G7" s="54">
        <f>HLOOKUP($B$2,Caldat!$AC$1:$AT$8,ROW(F7),FALSE)</f>
        <v>108.889</v>
      </c>
      <c r="H7" s="67">
        <f>VLOOKUP($B$2,Caldat!P$2:R$32,2,FALSE)</f>
        <v>0</v>
      </c>
      <c r="I7" s="39"/>
      <c r="J7" s="39"/>
      <c r="K7" s="39"/>
      <c r="L7" s="65" t="s">
        <v>27</v>
      </c>
      <c r="M7" s="84" t="str">
        <f ca="1">IFERROR((M3-M5)/M4,"—")</f>
        <v>—</v>
      </c>
      <c r="N7" s="33"/>
      <c r="O7" s="33"/>
      <c r="P7" s="33"/>
      <c r="Q7" s="65" t="s">
        <v>27</v>
      </c>
      <c r="R7" s="84" t="str">
        <f ca="1">IFERROR((R3-R5)/R4,"—")</f>
        <v>—</v>
      </c>
    </row>
    <row r="8" spans="1:18" ht="20" customHeight="1" thickBot="1" x14ac:dyDescent="0.25">
      <c r="D8" s="165"/>
      <c r="E8" s="99">
        <v>2</v>
      </c>
      <c r="F8" s="55" t="s">
        <v>25</v>
      </c>
      <c r="G8" s="89">
        <f>HLOOKUP($B$2,Caldat!$AC$1:$AT$8,ROW(F8),FALSE)</f>
        <v>145.30529999999999</v>
      </c>
      <c r="H8" s="90">
        <f>VLOOKUP($B$2,Caldat!S$2:U$29,2,FALSE)</f>
        <v>0</v>
      </c>
      <c r="I8" s="39"/>
      <c r="J8" s="39"/>
      <c r="K8" s="39"/>
      <c r="M8" s="33"/>
      <c r="O8" s="33"/>
      <c r="P8" s="33"/>
      <c r="Q8" s="33"/>
      <c r="R8" s="33"/>
    </row>
  </sheetData>
  <mergeCells count="3">
    <mergeCell ref="A1:A2"/>
    <mergeCell ref="D3:D5"/>
    <mergeCell ref="D6:D8"/>
  </mergeCells>
  <pageMargins left="0.7" right="0.7" top="0.75" bottom="0.75" header="0.3" footer="0.3"/>
  <pageSetup orientation="portrait" horizontalDpi="0" verticalDpi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B8D0-65B8-9A48-99A3-4C2C94356558}">
  <dimension ref="A1:R8"/>
  <sheetViews>
    <sheetView zoomScale="150" zoomScaleNormal="150" workbookViewId="0">
      <selection activeCell="B3" sqref="B3:B4"/>
    </sheetView>
  </sheetViews>
  <sheetFormatPr baseColWidth="10" defaultColWidth="8.83203125" defaultRowHeight="15" x14ac:dyDescent="0.2"/>
  <cols>
    <col min="1" max="1" width="21.83203125" customWidth="1"/>
    <col min="2" max="2" width="13.1640625" customWidth="1"/>
    <col min="3" max="4" width="2.83203125" customWidth="1"/>
    <col min="5" max="5" width="7.6640625" style="100" hidden="1" customWidth="1"/>
    <col min="6" max="8" width="10.83203125" style="6" customWidth="1"/>
    <col min="9" max="9" width="15.33203125" customWidth="1"/>
    <col min="10" max="10" width="2.83203125" customWidth="1"/>
    <col min="12" max="12" width="22.83203125" bestFit="1" customWidth="1"/>
    <col min="13" max="14" width="8.83203125" style="20"/>
    <col min="15" max="15" width="2.83203125" style="20" customWidth="1"/>
    <col min="16" max="16" width="8.83203125" style="20"/>
    <col min="17" max="17" width="22.83203125" style="20" bestFit="1" customWidth="1"/>
    <col min="18" max="18" width="8.83203125" style="20"/>
  </cols>
  <sheetData>
    <row r="1" spans="1:18" ht="20" customHeight="1" thickBot="1" x14ac:dyDescent="0.25">
      <c r="A1" s="161" t="s">
        <v>32</v>
      </c>
      <c r="B1" s="42" t="s">
        <v>94</v>
      </c>
      <c r="C1" s="34"/>
      <c r="D1" s="34"/>
      <c r="E1" s="93" t="s">
        <v>85</v>
      </c>
      <c r="F1" s="37" t="s">
        <v>0</v>
      </c>
      <c r="G1" s="38" t="str">
        <f>""&amp;$B$2&amp;" ppm"</f>
        <v>Cd ppm</v>
      </c>
      <c r="H1" s="38" t="str">
        <f>""&amp;$B$2&amp;" Signal"</f>
        <v>Cd Signal</v>
      </c>
      <c r="I1" s="39"/>
      <c r="J1" s="39"/>
      <c r="K1" s="85" t="s">
        <v>29</v>
      </c>
      <c r="L1" s="47" t="s">
        <v>75</v>
      </c>
      <c r="M1" s="92" cm="1">
        <f t="array" aca="1" ref="M1" ca="1">INDIRECT("H"&amp;(MATCH(1,E2:E8,0)+1)&amp;"")</f>
        <v>0</v>
      </c>
      <c r="N1" s="39"/>
      <c r="O1" s="39"/>
      <c r="P1" s="40" t="s">
        <v>30</v>
      </c>
      <c r="Q1" s="47" t="s">
        <v>75</v>
      </c>
      <c r="R1" s="87" cm="1">
        <f t="array" aca="1" ref="R1" ca="1">INDIRECT("H"&amp;(MATCH(2,E2:E8,0)+1)&amp;"")</f>
        <v>0</v>
      </c>
    </row>
    <row r="2" spans="1:18" ht="20" customHeight="1" thickBot="1" x14ac:dyDescent="0.3">
      <c r="A2" s="162"/>
      <c r="B2" s="43" t="s">
        <v>15</v>
      </c>
      <c r="C2" s="31"/>
      <c r="D2" s="79"/>
      <c r="E2" s="79"/>
      <c r="F2" s="80" t="s">
        <v>19</v>
      </c>
      <c r="G2" s="81">
        <f>HLOOKUP($B$2,Caldat!$AC$1:$AT$8,ROW(F2),FALSE)</f>
        <v>0</v>
      </c>
      <c r="H2" s="82">
        <f>IFERROR(VLOOKUP($B$2,Caldat!A$2:C$38,2,FALSE),0)</f>
        <v>0</v>
      </c>
      <c r="I2" s="39"/>
      <c r="J2" s="39"/>
      <c r="K2" s="39"/>
      <c r="L2" s="48" t="s">
        <v>76</v>
      </c>
      <c r="M2" s="86" cm="1">
        <f t="array" aca="1" ref="M2" ca="1">INDIRECT("H"&amp;(MATCH(1,E2:E8,1)+1)&amp;"")</f>
        <v>0</v>
      </c>
      <c r="N2" s="39"/>
      <c r="O2" s="39"/>
      <c r="P2" s="39"/>
      <c r="Q2" s="48" t="s">
        <v>76</v>
      </c>
      <c r="R2" s="86" cm="1">
        <f t="array" aca="1" ref="R2" ca="1">INDIRECT("H"&amp;(MATCH(2,E2:E8,1)+1)&amp;"")</f>
        <v>0</v>
      </c>
    </row>
    <row r="3" spans="1:18" ht="20" customHeight="1" x14ac:dyDescent="0.2">
      <c r="A3" s="35" t="s">
        <v>48</v>
      </c>
      <c r="B3" s="91" t="str">
        <f ca="1">IF(M7&lt;B5,"—",IF(M3&lt;M2,M7,IF(M3&lt;R1,((M3-M2)/(R1-M2))*R7+(1-((M3-M2)/(R1-M2)))*M7,R7)))</f>
        <v>—</v>
      </c>
      <c r="C3" s="32"/>
      <c r="D3" s="166" t="s">
        <v>79</v>
      </c>
      <c r="E3" s="95">
        <v>1</v>
      </c>
      <c r="F3" s="76" t="s">
        <v>20</v>
      </c>
      <c r="G3" s="103">
        <f>HLOOKUP($B$2,Caldat!$AC$1:$AT$8,ROW(F3),FALSE)</f>
        <v>10.07198</v>
      </c>
      <c r="H3" s="104">
        <f>IFERROR(VLOOKUP($B$2,Caldat!D$2:F$38,2,FALSE),0)</f>
        <v>0</v>
      </c>
      <c r="I3" s="39"/>
      <c r="J3" s="39"/>
      <c r="K3" s="39"/>
      <c r="L3" s="47" t="s">
        <v>28</v>
      </c>
      <c r="M3" s="83" t="str">
        <f>IFERROR(VLOOKUP($B$2,Samdat!$A$4:$B$50,2,FALSE),"—")</f>
        <v>—</v>
      </c>
      <c r="N3" s="33"/>
      <c r="O3" s="33"/>
      <c r="P3" s="33"/>
      <c r="Q3" s="47" t="s">
        <v>28</v>
      </c>
      <c r="R3" s="83" t="str">
        <f>M3</f>
        <v>—</v>
      </c>
    </row>
    <row r="4" spans="1:18" ht="20" customHeight="1" thickBot="1" x14ac:dyDescent="0.25">
      <c r="A4" s="36" t="s">
        <v>49</v>
      </c>
      <c r="B4" s="61" t="str">
        <f ca="1">IF(M7&lt;B5,"Not Significant",IF(M3&lt;M1,"Low Signal",IF(M3&lt;M2,"In Range",IF(M3&lt;R2,"In Range",IF(M3&lt;&gt;"—","High Signal","No Signal")))))</f>
        <v>No Signal</v>
      </c>
      <c r="C4" s="31"/>
      <c r="D4" s="167"/>
      <c r="E4" s="95">
        <v>1</v>
      </c>
      <c r="F4" s="51" t="s">
        <v>21</v>
      </c>
      <c r="G4" s="105">
        <f>HLOOKUP($B$2,Caldat!$AC$1:$AT$8,ROW(F4),FALSE)</f>
        <v>18.363060000000001</v>
      </c>
      <c r="H4" s="106">
        <f>IFERROR(VLOOKUP($B$2,Caldat!G$2:I$36,2,FALSE),0)</f>
        <v>0</v>
      </c>
      <c r="J4" s="39"/>
      <c r="K4" s="39"/>
      <c r="L4" s="48" t="s">
        <v>77</v>
      </c>
      <c r="M4" s="62">
        <f ca="1">SLOPE(INDIRECT("H"&amp;(MATCH(1,E2:E8,0)+1)&amp;":H"&amp;(MATCH(1,E2:E8,1)+1)&amp;""),INDIRECT("G"&amp;(MATCH(1,E2:E8,0)+1)&amp;":G"&amp;(MATCH(1,E2:E8,1)+1)&amp;""))</f>
        <v>0</v>
      </c>
      <c r="N4" s="39"/>
      <c r="O4" s="39"/>
      <c r="P4" s="39"/>
      <c r="Q4" s="48" t="s">
        <v>77</v>
      </c>
      <c r="R4" s="62">
        <f ca="1">SLOPE(INDIRECT("H"&amp;(MATCH(2,E2:E8,0)+1)&amp;":H"&amp;(MATCH(2,E2:E8,1)+1)&amp;""),INDIRECT("G"&amp;(MATCH(2,E2:E8,0)+1)&amp;":G"&amp;(MATCH(2,E2:E8,1)+1)&amp;""))</f>
        <v>0</v>
      </c>
    </row>
    <row r="5" spans="1:18" ht="20" customHeight="1" thickBot="1" x14ac:dyDescent="0.25">
      <c r="A5" s="35" t="s">
        <v>71</v>
      </c>
      <c r="B5" s="60">
        <f>VLOOKUP(B2,Caldat!$W$2:$Y$38,2,FALSE)</f>
        <v>15</v>
      </c>
      <c r="D5" s="168"/>
      <c r="E5" s="96">
        <v>1</v>
      </c>
      <c r="F5" s="58" t="s">
        <v>22</v>
      </c>
      <c r="G5" s="59">
        <f>HLOOKUP($B$2,Caldat!$AC$1:$AT$8,ROW(F5),FALSE)</f>
        <v>36.61036</v>
      </c>
      <c r="H5" s="68">
        <f>VLOOKUP($B$2,Caldat!J$2:L$34,2,FALSE)</f>
        <v>0</v>
      </c>
      <c r="I5" s="39"/>
      <c r="J5" s="39"/>
      <c r="K5" s="39"/>
      <c r="L5" s="48" t="s">
        <v>26</v>
      </c>
      <c r="M5" s="62">
        <f ca="1">INTERCEPT(INDIRECT("H"&amp;(MATCH(1,E2:E8,0)+1)&amp;":H"&amp;(MATCH(1,E2:E8,1)+1)&amp;""),INDIRECT("G"&amp;(MATCH(1,E2:E8,0)+1)&amp;":G"&amp;(MATCH(1,E2:E8,1)+1)&amp;""))</f>
        <v>0</v>
      </c>
      <c r="N5" s="39"/>
      <c r="O5" s="39"/>
      <c r="P5" s="39"/>
      <c r="Q5" s="48" t="s">
        <v>26</v>
      </c>
      <c r="R5" s="62">
        <f ca="1">INTERCEPT(INDIRECT("H"&amp;(MATCH(2,E2:E8,0)+1)&amp;":H"&amp;(MATCH(2,E2:E8,1)+1)&amp;""),INDIRECT("G"&amp;(MATCH(2,E2:E8,0)+1)&amp;":G"&amp;(MATCH(2,E2:E8,1)+1)&amp;""))</f>
        <v>0</v>
      </c>
    </row>
    <row r="6" spans="1:18" ht="20" customHeight="1" thickBot="1" x14ac:dyDescent="0.25">
      <c r="A6" s="36" t="s">
        <v>72</v>
      </c>
      <c r="B6" s="61">
        <f>ROUND(B5/3,2)</f>
        <v>5</v>
      </c>
      <c r="D6" s="163" t="s">
        <v>80</v>
      </c>
      <c r="E6" s="97">
        <v>2</v>
      </c>
      <c r="F6" s="53" t="s">
        <v>23</v>
      </c>
      <c r="G6" s="54">
        <f>HLOOKUP($B$2,Caldat!$AC$1:$AT$8,ROW(F6),FALSE)</f>
        <v>73.501310000000004</v>
      </c>
      <c r="H6" s="67">
        <f>VLOOKUP($B$2,Caldat!M$2:O$36,2,FALSE)</f>
        <v>0</v>
      </c>
      <c r="I6" s="39"/>
      <c r="J6" s="39"/>
      <c r="K6" s="39"/>
      <c r="L6" s="63" t="s">
        <v>78</v>
      </c>
      <c r="M6" s="64" t="e">
        <f ca="1">RSQ(INDIRECT("H"&amp;(MATCH(1,E2:E8,0)+1)&amp;":H"&amp;(MATCH(1,E2:E8,1)+1)&amp;""),INDIRECT("G"&amp;(MATCH(1,E2:E8,0)+1)&amp;":G"&amp;(MATCH(1,E2:E8,1)+1)&amp;""))</f>
        <v>#DIV/0!</v>
      </c>
      <c r="N6" s="41"/>
      <c r="O6" s="39"/>
      <c r="P6" s="39"/>
      <c r="Q6" s="63" t="s">
        <v>78</v>
      </c>
      <c r="R6" s="64" t="e">
        <f ca="1">RSQ(INDIRECT("H"&amp;(MATCH(2,E2:E8,0)+1)&amp;":H"&amp;(MATCH(2,E2:E8,1)+1)&amp;""),INDIRECT("G"&amp;(MATCH(2,E2:E8,0)+1)&amp;":G"&amp;(MATCH(2,E2:E8,1)+1)&amp;""))</f>
        <v>#DIV/0!</v>
      </c>
    </row>
    <row r="7" spans="1:18" ht="20" customHeight="1" thickBot="1" x14ac:dyDescent="0.25">
      <c r="D7" s="164"/>
      <c r="E7" s="98">
        <v>2</v>
      </c>
      <c r="F7" s="53" t="s">
        <v>24</v>
      </c>
      <c r="G7" s="54">
        <f>HLOOKUP($B$2,Caldat!$AC$1:$AT$8,ROW(F7),FALSE)</f>
        <v>108.889</v>
      </c>
      <c r="H7" s="67">
        <f>VLOOKUP($B$2,Caldat!P$2:R$32,2,FALSE)</f>
        <v>0</v>
      </c>
      <c r="I7" s="39"/>
      <c r="J7" s="39"/>
      <c r="K7" s="39"/>
      <c r="L7" s="65" t="s">
        <v>27</v>
      </c>
      <c r="M7" s="84" t="str">
        <f ca="1">IFERROR((M3-M5)/M4,"—")</f>
        <v>—</v>
      </c>
      <c r="N7" s="33"/>
      <c r="O7" s="33"/>
      <c r="P7" s="33"/>
      <c r="Q7" s="65" t="s">
        <v>27</v>
      </c>
      <c r="R7" s="84" t="str">
        <f ca="1">IFERROR((R3-R5)/R4,"—")</f>
        <v>—</v>
      </c>
    </row>
    <row r="8" spans="1:18" ht="20" customHeight="1" thickBot="1" x14ac:dyDescent="0.25">
      <c r="D8" s="165"/>
      <c r="E8" s="99">
        <v>2</v>
      </c>
      <c r="F8" s="55" t="s">
        <v>25</v>
      </c>
      <c r="G8" s="89">
        <f>HLOOKUP($B$2,Caldat!$AC$1:$AT$8,ROW(F8),FALSE)</f>
        <v>145.30529999999999</v>
      </c>
      <c r="H8" s="90">
        <f>VLOOKUP($B$2,Caldat!S$2:U$29,2,FALSE)</f>
        <v>0</v>
      </c>
      <c r="I8" s="39"/>
      <c r="J8" s="39"/>
      <c r="K8" s="39"/>
      <c r="M8" s="33"/>
      <c r="O8" s="33"/>
      <c r="P8" s="33"/>
      <c r="Q8" s="33"/>
      <c r="R8" s="33"/>
    </row>
  </sheetData>
  <mergeCells count="3">
    <mergeCell ref="A1:A2"/>
    <mergeCell ref="D3:D5"/>
    <mergeCell ref="D6:D8"/>
  </mergeCells>
  <pageMargins left="0.7" right="0.7" top="0.75" bottom="0.75" header="0.3" footer="0.3"/>
  <pageSetup orientation="portrait" horizontalDpi="0" verticalDpi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08976-814E-F344-85EB-C89708CB3947}">
  <dimension ref="A1:R8"/>
  <sheetViews>
    <sheetView zoomScale="150" zoomScaleNormal="150" workbookViewId="0">
      <selection activeCell="B3" sqref="B3:B4"/>
    </sheetView>
  </sheetViews>
  <sheetFormatPr baseColWidth="10" defaultColWidth="8.83203125" defaultRowHeight="15" x14ac:dyDescent="0.2"/>
  <cols>
    <col min="1" max="1" width="21.83203125" customWidth="1"/>
    <col min="2" max="2" width="13.1640625" customWidth="1"/>
    <col min="3" max="4" width="2.83203125" customWidth="1"/>
    <col min="5" max="5" width="7.6640625" style="100" hidden="1" customWidth="1"/>
    <col min="6" max="8" width="10.83203125" style="6" customWidth="1"/>
    <col min="9" max="9" width="15.33203125" customWidth="1"/>
    <col min="10" max="10" width="2.83203125" customWidth="1"/>
    <col min="12" max="12" width="22.83203125" bestFit="1" customWidth="1"/>
    <col min="13" max="14" width="8.83203125" style="20"/>
    <col min="15" max="15" width="2.83203125" style="20" customWidth="1"/>
    <col min="16" max="16" width="8.83203125" style="20"/>
    <col min="17" max="17" width="22.83203125" style="20" bestFit="1" customWidth="1"/>
    <col min="18" max="18" width="8.83203125" style="20"/>
  </cols>
  <sheetData>
    <row r="1" spans="1:18" ht="20" customHeight="1" thickBot="1" x14ac:dyDescent="0.25">
      <c r="A1" s="161" t="s">
        <v>32</v>
      </c>
      <c r="B1" s="42" t="s">
        <v>95</v>
      </c>
      <c r="C1" s="34"/>
      <c r="D1" s="34"/>
      <c r="E1" s="93" t="s">
        <v>85</v>
      </c>
      <c r="F1" s="37" t="s">
        <v>0</v>
      </c>
      <c r="G1" s="38" t="str">
        <f>""&amp;$B$2&amp;" ppm"</f>
        <v>Tl ppm</v>
      </c>
      <c r="H1" s="38" t="str">
        <f>""&amp;$B$2&amp;" Signal"</f>
        <v>Tl Signal</v>
      </c>
      <c r="I1" s="39"/>
      <c r="J1" s="39"/>
      <c r="K1" s="85" t="s">
        <v>29</v>
      </c>
      <c r="L1" s="47" t="s">
        <v>75</v>
      </c>
      <c r="M1" s="92" cm="1">
        <f t="array" aca="1" ref="M1" ca="1">INDIRECT("H"&amp;(MATCH(1,E2:E8,0)+1)&amp;"")</f>
        <v>0</v>
      </c>
      <c r="N1" s="39"/>
      <c r="O1" s="39"/>
      <c r="P1" s="40" t="s">
        <v>30</v>
      </c>
      <c r="Q1" s="47" t="s">
        <v>75</v>
      </c>
      <c r="R1" s="87" cm="1">
        <f t="array" aca="1" ref="R1" ca="1">INDIRECT("H"&amp;(MATCH(2,E2:E8,0)+1)&amp;"")</f>
        <v>0</v>
      </c>
    </row>
    <row r="2" spans="1:18" ht="20" customHeight="1" thickBot="1" x14ac:dyDescent="0.3">
      <c r="A2" s="162"/>
      <c r="B2" s="43" t="s">
        <v>16</v>
      </c>
      <c r="C2" s="31"/>
      <c r="D2" s="79"/>
      <c r="E2" s="79"/>
      <c r="F2" s="80" t="s">
        <v>19</v>
      </c>
      <c r="G2" s="81">
        <f>HLOOKUP($B$2,Caldat!$AC$1:$AT$8,ROW(F2),FALSE)</f>
        <v>0</v>
      </c>
      <c r="H2" s="82">
        <f>IFERROR(VLOOKUP($B$2,Caldat!A$2:C$38,2,FALSE),0)</f>
        <v>0</v>
      </c>
      <c r="I2" s="39"/>
      <c r="J2" s="39"/>
      <c r="K2" s="39"/>
      <c r="L2" s="48" t="s">
        <v>76</v>
      </c>
      <c r="M2" s="86" cm="1">
        <f t="array" aca="1" ref="M2" ca="1">INDIRECT("H"&amp;(MATCH(1,E2:E8,1)+1)&amp;"")</f>
        <v>0</v>
      </c>
      <c r="N2" s="39"/>
      <c r="O2" s="39"/>
      <c r="P2" s="39"/>
      <c r="Q2" s="48" t="s">
        <v>76</v>
      </c>
      <c r="R2" s="86" cm="1">
        <f t="array" aca="1" ref="R2" ca="1">INDIRECT("H"&amp;(MATCH(2,E2:E8,1)+1)&amp;"")</f>
        <v>0</v>
      </c>
    </row>
    <row r="3" spans="1:18" ht="20" customHeight="1" x14ac:dyDescent="0.2">
      <c r="A3" s="35" t="s">
        <v>48</v>
      </c>
      <c r="B3" s="91" t="str">
        <f ca="1">IF(M7&lt;B5,"—",IF(M3&lt;M2,M7,IF(M3&lt;R1,((M3-M2)/(R1-M2))*R7+(1-((M3-M2)/(R1-M2)))*M7,R7)))</f>
        <v>—</v>
      </c>
      <c r="C3" s="32"/>
      <c r="D3" s="167" t="s">
        <v>79</v>
      </c>
      <c r="E3" s="95">
        <v>1</v>
      </c>
      <c r="F3" s="76" t="s">
        <v>20</v>
      </c>
      <c r="G3" s="77">
        <f>HLOOKUP($B$2,Caldat!$AC$1:$AT$8,ROW(F3),FALSE)</f>
        <v>10.07198</v>
      </c>
      <c r="H3" s="78">
        <f>VLOOKUP($B$2,Caldat!D$2:F$38,2,FALSE)</f>
        <v>0</v>
      </c>
      <c r="I3" s="39"/>
      <c r="J3" s="39"/>
      <c r="K3" s="39"/>
      <c r="L3" s="47" t="s">
        <v>28</v>
      </c>
      <c r="M3" s="83" t="str">
        <f>IFERROR(VLOOKUP($B$2,Samdat!$A$4:$B$50,2,FALSE),"—")</f>
        <v>—</v>
      </c>
      <c r="N3" s="33"/>
      <c r="O3" s="33"/>
      <c r="P3" s="33"/>
      <c r="Q3" s="47" t="s">
        <v>28</v>
      </c>
      <c r="R3" s="83" t="str">
        <f>M3</f>
        <v>—</v>
      </c>
    </row>
    <row r="4" spans="1:18" ht="20" customHeight="1" thickBot="1" x14ac:dyDescent="0.25">
      <c r="A4" s="36" t="s">
        <v>49</v>
      </c>
      <c r="B4" s="61" t="str">
        <f ca="1">IF(M7&lt;B5,"Not Significant",IF(M3&lt;M1,"Low Signal",IF(M3&lt;M2,"In Range",IF(M3&lt;R2,"In Range",IF(M3&lt;&gt;"—","High Signal","No Signal")))))</f>
        <v>No Signal</v>
      </c>
      <c r="C4" s="31"/>
      <c r="D4" s="167"/>
      <c r="E4" s="95">
        <v>1</v>
      </c>
      <c r="F4" s="51" t="s">
        <v>21</v>
      </c>
      <c r="G4" s="52">
        <f>HLOOKUP($B$2,Caldat!$AC$1:$AT$8,ROW(F4),FALSE)</f>
        <v>18.363060000000001</v>
      </c>
      <c r="H4" s="67">
        <f>VLOOKUP($B$2,Caldat!G$2:I$36,2,FALSE)</f>
        <v>0</v>
      </c>
      <c r="J4" s="39"/>
      <c r="K4" s="39"/>
      <c r="L4" s="48" t="s">
        <v>77</v>
      </c>
      <c r="M4" s="62">
        <f ca="1">SLOPE(INDIRECT("H"&amp;(MATCH(1,E2:E8,0)+1)&amp;":H"&amp;(MATCH(1,E2:E8,1)+1)&amp;""),INDIRECT("G"&amp;(MATCH(1,E2:E8,0)+1)&amp;":G"&amp;(MATCH(1,E2:E8,1)+1)&amp;""))</f>
        <v>0</v>
      </c>
      <c r="N4" s="39"/>
      <c r="O4" s="39"/>
      <c r="P4" s="39"/>
      <c r="Q4" s="48" t="s">
        <v>77</v>
      </c>
      <c r="R4" s="62">
        <f ca="1">SLOPE(INDIRECT("H"&amp;(MATCH(2,E2:E8,0)+1)&amp;":H"&amp;(MATCH(2,E2:E8,1)+1)&amp;""),INDIRECT("G"&amp;(MATCH(2,E2:E8,0)+1)&amp;":G"&amp;(MATCH(2,E2:E8,1)+1)&amp;""))</f>
        <v>0</v>
      </c>
    </row>
    <row r="5" spans="1:18" ht="20" customHeight="1" thickBot="1" x14ac:dyDescent="0.25">
      <c r="A5" s="35" t="s">
        <v>71</v>
      </c>
      <c r="B5" s="60">
        <f>VLOOKUP(B2,Caldat!$W$2:$Y$38,2,FALSE)</f>
        <v>10</v>
      </c>
      <c r="D5" s="168"/>
      <c r="E5" s="96">
        <v>1</v>
      </c>
      <c r="F5" s="58" t="s">
        <v>22</v>
      </c>
      <c r="G5" s="59">
        <f>HLOOKUP($B$2,Caldat!$AC$1:$AT$8,ROW(F5),FALSE)</f>
        <v>36.61036</v>
      </c>
      <c r="H5" s="68">
        <f>VLOOKUP($B$2,Caldat!J$2:L$34,2,FALSE)</f>
        <v>0</v>
      </c>
      <c r="I5" s="39"/>
      <c r="J5" s="39"/>
      <c r="K5" s="39"/>
      <c r="L5" s="48" t="s">
        <v>26</v>
      </c>
      <c r="M5" s="62">
        <f ca="1">INTERCEPT(INDIRECT("H"&amp;(MATCH(1,E2:E8,0)+1)&amp;":H"&amp;(MATCH(1,E2:E8,1)+1)&amp;""),INDIRECT("G"&amp;(MATCH(1,E2:E8,0)+1)&amp;":G"&amp;(MATCH(1,E2:E8,1)+1)&amp;""))</f>
        <v>0</v>
      </c>
      <c r="N5" s="39"/>
      <c r="O5" s="39"/>
      <c r="P5" s="39"/>
      <c r="Q5" s="48" t="s">
        <v>26</v>
      </c>
      <c r="R5" s="62">
        <f ca="1">INTERCEPT(INDIRECT("H"&amp;(MATCH(2,E2:E8,0)+1)&amp;":H"&amp;(MATCH(2,E2:E8,1)+1)&amp;""),INDIRECT("G"&amp;(MATCH(2,E2:E8,0)+1)&amp;":G"&amp;(MATCH(2,E2:E8,1)+1)&amp;""))</f>
        <v>0</v>
      </c>
    </row>
    <row r="6" spans="1:18" ht="20" customHeight="1" thickBot="1" x14ac:dyDescent="0.25">
      <c r="A6" s="36" t="s">
        <v>72</v>
      </c>
      <c r="B6" s="61">
        <f>ROUND(B5/3,2)</f>
        <v>3.33</v>
      </c>
      <c r="D6" s="163" t="s">
        <v>80</v>
      </c>
      <c r="E6" s="97">
        <v>2</v>
      </c>
      <c r="F6" s="53" t="s">
        <v>23</v>
      </c>
      <c r="G6" s="54">
        <f>HLOOKUP($B$2,Caldat!$AC$1:$AT$8,ROW(F6),FALSE)</f>
        <v>73.501310000000004</v>
      </c>
      <c r="H6" s="67">
        <f>VLOOKUP($B$2,Caldat!M$2:O$36,2,FALSE)</f>
        <v>0</v>
      </c>
      <c r="I6" s="39"/>
      <c r="J6" s="39"/>
      <c r="K6" s="39"/>
      <c r="L6" s="63" t="s">
        <v>78</v>
      </c>
      <c r="M6" s="64" t="e">
        <f ca="1">RSQ(INDIRECT("H"&amp;(MATCH(1,E2:E8,0)+1)&amp;":H"&amp;(MATCH(1,E2:E8,1)+1)&amp;""),INDIRECT("G"&amp;(MATCH(1,E2:E8,0)+1)&amp;":G"&amp;(MATCH(1,E2:E8,1)+1)&amp;""))</f>
        <v>#DIV/0!</v>
      </c>
      <c r="N6" s="41"/>
      <c r="O6" s="39"/>
      <c r="P6" s="39"/>
      <c r="Q6" s="63" t="s">
        <v>78</v>
      </c>
      <c r="R6" s="64" t="e">
        <f ca="1">RSQ(INDIRECT("H"&amp;(MATCH(2,E2:E8,0)+1)&amp;":H"&amp;(MATCH(2,E2:E8,1)+1)&amp;""),INDIRECT("G"&amp;(MATCH(2,E2:E8,0)+1)&amp;":G"&amp;(MATCH(2,E2:E8,1)+1)&amp;""))</f>
        <v>#DIV/0!</v>
      </c>
    </row>
    <row r="7" spans="1:18" ht="20" customHeight="1" thickBot="1" x14ac:dyDescent="0.25">
      <c r="D7" s="164"/>
      <c r="E7" s="98">
        <v>2</v>
      </c>
      <c r="F7" s="53" t="s">
        <v>24</v>
      </c>
      <c r="G7" s="54">
        <f>HLOOKUP($B$2,Caldat!$AC$1:$AT$8,ROW(F7),FALSE)</f>
        <v>108.889</v>
      </c>
      <c r="H7" s="67">
        <f>VLOOKUP($B$2,Caldat!P$2:R$32,2,FALSE)</f>
        <v>0</v>
      </c>
      <c r="I7" s="39"/>
      <c r="J7" s="39"/>
      <c r="K7" s="39"/>
      <c r="L7" s="65" t="s">
        <v>27</v>
      </c>
      <c r="M7" s="84" t="str">
        <f ca="1">IFERROR((M3-M5)/M4,"—")</f>
        <v>—</v>
      </c>
      <c r="N7" s="33"/>
      <c r="O7" s="33"/>
      <c r="P7" s="33"/>
      <c r="Q7" s="65" t="s">
        <v>27</v>
      </c>
      <c r="R7" s="84" t="str">
        <f ca="1">IFERROR((R3-R5)/R4,"—")</f>
        <v>—</v>
      </c>
    </row>
    <row r="8" spans="1:18" ht="20" customHeight="1" thickBot="1" x14ac:dyDescent="0.25">
      <c r="D8" s="165"/>
      <c r="E8" s="99">
        <v>2</v>
      </c>
      <c r="F8" s="55" t="s">
        <v>25</v>
      </c>
      <c r="G8" s="89">
        <f>HLOOKUP($B$2,Caldat!$AC$1:$AT$8,ROW(F8),FALSE)</f>
        <v>145.30529999999999</v>
      </c>
      <c r="H8" s="90">
        <f>VLOOKUP($B$2,Caldat!S$2:U$29,2,FALSE)</f>
        <v>0</v>
      </c>
      <c r="I8" s="39"/>
      <c r="J8" s="39"/>
      <c r="K8" s="39"/>
      <c r="M8" s="33"/>
      <c r="O8" s="33"/>
      <c r="P8" s="33"/>
      <c r="Q8" s="33"/>
      <c r="R8" s="33"/>
    </row>
  </sheetData>
  <mergeCells count="3">
    <mergeCell ref="A1:A2"/>
    <mergeCell ref="D3:D5"/>
    <mergeCell ref="D6:D8"/>
  </mergeCells>
  <pageMargins left="0.7" right="0.7" top="0.75" bottom="0.75" header="0.3" footer="0.3"/>
  <pageSetup orientation="portrait" horizontalDpi="0" verticalDpi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E8F0-44FE-0641-9E48-3B7E1BF4262A}">
  <dimension ref="A1:R8"/>
  <sheetViews>
    <sheetView zoomScale="150" zoomScaleNormal="150" workbookViewId="0">
      <selection activeCell="B3" sqref="B3:B4"/>
    </sheetView>
  </sheetViews>
  <sheetFormatPr baseColWidth="10" defaultColWidth="8.83203125" defaultRowHeight="15" x14ac:dyDescent="0.2"/>
  <cols>
    <col min="1" max="1" width="21.83203125" customWidth="1"/>
    <col min="2" max="2" width="14.33203125" bestFit="1" customWidth="1"/>
    <col min="3" max="4" width="2.83203125" customWidth="1"/>
    <col min="5" max="5" width="7.6640625" style="100" hidden="1" customWidth="1"/>
    <col min="6" max="8" width="10.83203125" style="6" customWidth="1"/>
    <col min="9" max="9" width="15.33203125" customWidth="1"/>
    <col min="10" max="10" width="2.83203125" customWidth="1"/>
    <col min="12" max="12" width="22.83203125" bestFit="1" customWidth="1"/>
    <col min="13" max="14" width="8.83203125" style="20"/>
    <col min="15" max="15" width="2.83203125" style="20" customWidth="1"/>
    <col min="16" max="16" width="8.83203125" style="20"/>
    <col min="17" max="17" width="22.83203125" style="20" bestFit="1" customWidth="1"/>
    <col min="18" max="18" width="8.83203125" style="20"/>
  </cols>
  <sheetData>
    <row r="1" spans="1:18" ht="20" customHeight="1" thickBot="1" x14ac:dyDescent="0.25">
      <c r="A1" s="161" t="s">
        <v>32</v>
      </c>
      <c r="B1" s="42" t="s">
        <v>96</v>
      </c>
      <c r="C1" s="34"/>
      <c r="D1" s="34"/>
      <c r="E1" s="93" t="s">
        <v>85</v>
      </c>
      <c r="F1" s="37" t="s">
        <v>0</v>
      </c>
      <c r="G1" s="38" t="str">
        <f>""&amp;$B$2&amp;" ppm"</f>
        <v>Pb ppm</v>
      </c>
      <c r="H1" s="38" t="str">
        <f>""&amp;$B$2&amp;" Signal"</f>
        <v>Pb Signal</v>
      </c>
      <c r="I1" s="39"/>
      <c r="J1" s="39"/>
      <c r="K1" s="85" t="s">
        <v>29</v>
      </c>
      <c r="L1" s="47" t="s">
        <v>75</v>
      </c>
      <c r="M1" s="92" cm="1">
        <f t="array" aca="1" ref="M1" ca="1">INDIRECT("H"&amp;(MATCH(1,E2:E8,0)+1)&amp;"")</f>
        <v>0</v>
      </c>
      <c r="N1" s="39"/>
      <c r="O1" s="39"/>
      <c r="P1" s="40" t="s">
        <v>30</v>
      </c>
      <c r="Q1" s="47" t="s">
        <v>75</v>
      </c>
      <c r="R1" s="87" cm="1">
        <f t="array" aca="1" ref="R1" ca="1">INDIRECT("H"&amp;(MATCH(2,E2:E8,0)+1)&amp;"")</f>
        <v>0</v>
      </c>
    </row>
    <row r="2" spans="1:18" ht="20" customHeight="1" thickBot="1" x14ac:dyDescent="0.3">
      <c r="A2" s="162"/>
      <c r="B2" s="43" t="s">
        <v>17</v>
      </c>
      <c r="C2" s="31"/>
      <c r="D2" s="79"/>
      <c r="E2" s="79"/>
      <c r="F2" s="80" t="s">
        <v>19</v>
      </c>
      <c r="G2" s="81">
        <f>HLOOKUP($B$2,Caldat!$AC$1:$AT$8,ROW(F2),FALSE)</f>
        <v>0</v>
      </c>
      <c r="H2" s="82">
        <f>IFERROR(VLOOKUP($B$2,Caldat!A$2:C$38,2,FALSE),0)</f>
        <v>0</v>
      </c>
      <c r="I2" s="39"/>
      <c r="J2" s="39"/>
      <c r="K2" s="39"/>
      <c r="L2" s="48" t="s">
        <v>76</v>
      </c>
      <c r="M2" s="86" cm="1">
        <f t="array" aca="1" ref="M2" ca="1">INDIRECT("H"&amp;(MATCH(1,E2:E8,1)+1)&amp;"")</f>
        <v>0</v>
      </c>
      <c r="N2" s="39"/>
      <c r="O2" s="39"/>
      <c r="P2" s="39"/>
      <c r="Q2" s="48" t="s">
        <v>76</v>
      </c>
      <c r="R2" s="86" cm="1">
        <f t="array" aca="1" ref="R2" ca="1">INDIRECT("H"&amp;(MATCH(2,E2:E8,1)+1)&amp;"")</f>
        <v>0</v>
      </c>
    </row>
    <row r="3" spans="1:18" ht="20" customHeight="1" x14ac:dyDescent="0.2">
      <c r="A3" s="35" t="s">
        <v>48</v>
      </c>
      <c r="B3" s="91" t="str">
        <f ca="1">IF(M7&lt;B5,"—",IF(M3&lt;M2,M7,IF(M3&lt;R1,((M3-M2)/(R1-M2))*R7+(1-((M3-M2)/(R1-M2)))*M7,R7)))</f>
        <v>—</v>
      </c>
      <c r="C3" s="32"/>
      <c r="D3" s="167" t="s">
        <v>79</v>
      </c>
      <c r="E3" s="95">
        <v>1</v>
      </c>
      <c r="F3" s="76" t="s">
        <v>20</v>
      </c>
      <c r="G3" s="77">
        <f>HLOOKUP($B$2,Caldat!$AC$1:$AT$8,ROW(F3),FALSE)</f>
        <v>10.07198</v>
      </c>
      <c r="H3" s="108">
        <f>VLOOKUP($B$2,Caldat!D$2:F$38,2,FALSE)</f>
        <v>0</v>
      </c>
      <c r="I3" s="39"/>
      <c r="J3" s="39"/>
      <c r="K3" s="39"/>
      <c r="L3" s="47" t="s">
        <v>28</v>
      </c>
      <c r="M3" s="83" t="str">
        <f>IFERROR(VLOOKUP($B$2,Samdat!$A$4:$B$50,2,FALSE),"—")</f>
        <v>—</v>
      </c>
      <c r="N3" s="33"/>
      <c r="O3" s="33"/>
      <c r="P3" s="33"/>
      <c r="Q3" s="47" t="s">
        <v>28</v>
      </c>
      <c r="R3" s="83" t="str">
        <f>M3</f>
        <v>—</v>
      </c>
    </row>
    <row r="4" spans="1:18" ht="20" customHeight="1" thickBot="1" x14ac:dyDescent="0.25">
      <c r="A4" s="36" t="s">
        <v>49</v>
      </c>
      <c r="B4" s="61" t="str">
        <f ca="1">IF(M7&lt;B5,"Not Significant",IF(M3&lt;M1,"Low Signal",IF(M3&lt;M2,"In Range",IF(M3&lt;R2,"In Range",IF(M3&lt;&gt;"—","High Signal","No Signal")))))</f>
        <v>No Signal</v>
      </c>
      <c r="C4" s="31"/>
      <c r="D4" s="167"/>
      <c r="E4" s="95">
        <v>1</v>
      </c>
      <c r="F4" s="51" t="s">
        <v>21</v>
      </c>
      <c r="G4" s="52">
        <f>HLOOKUP($B$2,Caldat!$AC$1:$AT$8,ROW(F4),FALSE)</f>
        <v>18.363060000000001</v>
      </c>
      <c r="H4" s="67">
        <f>VLOOKUP($B$2,Caldat!G$2:I$36,2,FALSE)</f>
        <v>0</v>
      </c>
      <c r="J4" s="39"/>
      <c r="K4" s="39"/>
      <c r="L4" s="48" t="s">
        <v>77</v>
      </c>
      <c r="M4" s="62">
        <f ca="1">SLOPE(INDIRECT("H"&amp;(MATCH(1,E2:E8,0)+1)&amp;":H"&amp;(MATCH(1,E2:E8,1)+1)&amp;""),INDIRECT("G"&amp;(MATCH(1,E2:E8,0)+1)&amp;":G"&amp;(MATCH(1,E2:E8,1)+1)&amp;""))</f>
        <v>0</v>
      </c>
      <c r="N4" s="39"/>
      <c r="O4" s="39"/>
      <c r="P4" s="39"/>
      <c r="Q4" s="48" t="s">
        <v>77</v>
      </c>
      <c r="R4" s="62">
        <f ca="1">SLOPE(INDIRECT("H"&amp;(MATCH(2,E2:E8,0)+1)&amp;":H"&amp;(MATCH(2,E2:E8,1)+1)&amp;""),INDIRECT("G"&amp;(MATCH(2,E2:E8,0)+1)&amp;":G"&amp;(MATCH(2,E2:E8,1)+1)&amp;""))</f>
        <v>0</v>
      </c>
    </row>
    <row r="5" spans="1:18" ht="20" customHeight="1" thickBot="1" x14ac:dyDescent="0.25">
      <c r="A5" s="35" t="s">
        <v>71</v>
      </c>
      <c r="B5" s="60">
        <f>VLOOKUP(B2,Caldat!$W$2:$Y$38,2,FALSE)</f>
        <v>10</v>
      </c>
      <c r="D5" s="168"/>
      <c r="E5" s="96">
        <v>1</v>
      </c>
      <c r="F5" s="58" t="s">
        <v>22</v>
      </c>
      <c r="G5" s="59">
        <f>HLOOKUP($B$2,Caldat!$AC$1:$AT$8,ROW(F5),FALSE)</f>
        <v>36.61036</v>
      </c>
      <c r="H5" s="68">
        <f>VLOOKUP($B$2,Caldat!J$2:L$34,2,FALSE)</f>
        <v>0</v>
      </c>
      <c r="I5" s="39"/>
      <c r="J5" s="39"/>
      <c r="K5" s="39"/>
      <c r="L5" s="48" t="s">
        <v>26</v>
      </c>
      <c r="M5" s="62">
        <f ca="1">INTERCEPT(INDIRECT("H"&amp;(MATCH(1,E2:E8,0)+1)&amp;":H"&amp;(MATCH(1,E2:E8,1)+1)&amp;""),INDIRECT("G"&amp;(MATCH(1,E2:E8,0)+1)&amp;":G"&amp;(MATCH(1,E2:E8,1)+1)&amp;""))</f>
        <v>0</v>
      </c>
      <c r="N5" s="39"/>
      <c r="O5" s="39"/>
      <c r="P5" s="39"/>
      <c r="Q5" s="48" t="s">
        <v>26</v>
      </c>
      <c r="R5" s="62">
        <f ca="1">INTERCEPT(INDIRECT("H"&amp;(MATCH(2,E2:E8,0)+1)&amp;":H"&amp;(MATCH(2,E2:E8,1)+1)&amp;""),INDIRECT("G"&amp;(MATCH(2,E2:E8,0)+1)&amp;":G"&amp;(MATCH(2,E2:E8,1)+1)&amp;""))</f>
        <v>0</v>
      </c>
    </row>
    <row r="6" spans="1:18" ht="20" customHeight="1" thickBot="1" x14ac:dyDescent="0.25">
      <c r="A6" s="36" t="s">
        <v>72</v>
      </c>
      <c r="B6" s="61">
        <f>ROUND(B5/3,2)</f>
        <v>3.33</v>
      </c>
      <c r="D6" s="163" t="s">
        <v>80</v>
      </c>
      <c r="E6" s="97">
        <v>2</v>
      </c>
      <c r="F6" s="53" t="s">
        <v>23</v>
      </c>
      <c r="G6" s="54">
        <f>HLOOKUP($B$2,Caldat!$AC$1:$AT$8,ROW(F6),FALSE)</f>
        <v>73.501310000000004</v>
      </c>
      <c r="H6" s="67">
        <f>VLOOKUP($B$2,Caldat!M$2:O$36,2,FALSE)</f>
        <v>0</v>
      </c>
      <c r="I6" s="39"/>
      <c r="J6" s="39"/>
      <c r="K6" s="39"/>
      <c r="L6" s="63" t="s">
        <v>78</v>
      </c>
      <c r="M6" s="64" t="e">
        <f ca="1">RSQ(INDIRECT("H"&amp;(MATCH(1,E2:E8,0)+1)&amp;":H"&amp;(MATCH(1,E2:E8,1)+1)&amp;""),INDIRECT("G"&amp;(MATCH(1,E2:E8,0)+1)&amp;":G"&amp;(MATCH(1,E2:E8,1)+1)&amp;""))</f>
        <v>#DIV/0!</v>
      </c>
      <c r="N6" s="41"/>
      <c r="O6" s="39"/>
      <c r="P6" s="39"/>
      <c r="Q6" s="63" t="s">
        <v>78</v>
      </c>
      <c r="R6" s="64" t="e">
        <f ca="1">RSQ(INDIRECT("H"&amp;(MATCH(2,E2:E8,0)+1)&amp;":H"&amp;(MATCH(2,E2:E8,1)+1)&amp;""),INDIRECT("G"&amp;(MATCH(2,E2:E8,0)+1)&amp;":G"&amp;(MATCH(2,E2:E8,1)+1)&amp;""))</f>
        <v>#DIV/0!</v>
      </c>
    </row>
    <row r="7" spans="1:18" ht="20" customHeight="1" thickBot="1" x14ac:dyDescent="0.25">
      <c r="D7" s="164"/>
      <c r="E7" s="98">
        <v>2</v>
      </c>
      <c r="F7" s="53" t="s">
        <v>24</v>
      </c>
      <c r="G7" s="54">
        <f>HLOOKUP($B$2,Caldat!$AC$1:$AT$8,ROW(F7),FALSE)</f>
        <v>108.889</v>
      </c>
      <c r="H7" s="67">
        <f>VLOOKUP($B$2,Caldat!P$2:R$32,2,FALSE)</f>
        <v>0</v>
      </c>
      <c r="I7" s="39"/>
      <c r="J7" s="39"/>
      <c r="K7" s="39"/>
      <c r="L7" s="65" t="s">
        <v>27</v>
      </c>
      <c r="M7" s="84" t="str">
        <f ca="1">IFERROR((M3-M5)/M4,"—")</f>
        <v>—</v>
      </c>
      <c r="N7" s="33"/>
      <c r="O7" s="33"/>
      <c r="P7" s="33"/>
      <c r="Q7" s="65" t="s">
        <v>27</v>
      </c>
      <c r="R7" s="84" t="str">
        <f ca="1">IFERROR((R3-R5)/R4,"—")</f>
        <v>—</v>
      </c>
    </row>
    <row r="8" spans="1:18" ht="20" customHeight="1" thickBot="1" x14ac:dyDescent="0.25">
      <c r="D8" s="165"/>
      <c r="E8" s="99">
        <v>2</v>
      </c>
      <c r="F8" s="55" t="s">
        <v>25</v>
      </c>
      <c r="G8" s="107">
        <f>HLOOKUP($B$2,Caldat!$AC$1:$AT$8,ROW(F8),FALSE)</f>
        <v>145.30529999999999</v>
      </c>
      <c r="H8" s="75">
        <f>VLOOKUP($B$2,Caldat!S$2:U$29,2,FALSE)</f>
        <v>0</v>
      </c>
      <c r="I8" s="39"/>
      <c r="J8" s="39"/>
      <c r="K8" s="39"/>
      <c r="M8" s="33"/>
      <c r="O8" s="33"/>
      <c r="P8" s="33"/>
      <c r="Q8" s="33"/>
      <c r="R8" s="33"/>
    </row>
  </sheetData>
  <mergeCells count="3">
    <mergeCell ref="A1:A2"/>
    <mergeCell ref="D3:D5"/>
    <mergeCell ref="D6:D8"/>
  </mergeCells>
  <pageMargins left="0.7" right="0.7" top="0.75" bottom="0.75" header="0.3" footer="0.3"/>
  <pageSetup orientation="portrait" horizontalDpi="0" verticalDpi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2B728-C3BC-804E-97D8-CC8F8E0C6274}">
  <dimension ref="A1:R8"/>
  <sheetViews>
    <sheetView zoomScale="150" zoomScaleNormal="150" workbookViewId="0">
      <selection activeCell="B18" sqref="B18"/>
    </sheetView>
  </sheetViews>
  <sheetFormatPr baseColWidth="10" defaultColWidth="8.83203125" defaultRowHeight="15" x14ac:dyDescent="0.2"/>
  <cols>
    <col min="1" max="1" width="21.83203125" customWidth="1"/>
    <col min="2" max="2" width="14.33203125" bestFit="1" customWidth="1"/>
    <col min="3" max="4" width="2.83203125" customWidth="1"/>
    <col min="5" max="5" width="7.6640625" style="100" hidden="1" customWidth="1"/>
    <col min="6" max="8" width="10.83203125" style="6" customWidth="1"/>
    <col min="9" max="9" width="15.33203125" customWidth="1"/>
    <col min="10" max="10" width="2.83203125" customWidth="1"/>
    <col min="12" max="12" width="22.83203125" bestFit="1" customWidth="1"/>
    <col min="13" max="14" width="8.83203125" style="20"/>
    <col min="15" max="15" width="2.83203125" style="20" customWidth="1"/>
    <col min="16" max="16" width="8.83203125" style="20"/>
    <col min="17" max="17" width="22.83203125" style="20" bestFit="1" customWidth="1"/>
    <col min="18" max="18" width="8.83203125" style="20"/>
  </cols>
  <sheetData>
    <row r="1" spans="1:18" ht="20" customHeight="1" thickBot="1" x14ac:dyDescent="0.25">
      <c r="A1" s="161" t="s">
        <v>32</v>
      </c>
      <c r="B1" s="42" t="s">
        <v>97</v>
      </c>
      <c r="C1" s="34"/>
      <c r="D1" s="34"/>
      <c r="E1" s="93" t="s">
        <v>85</v>
      </c>
      <c r="F1" s="37" t="s">
        <v>0</v>
      </c>
      <c r="G1" s="38" t="str">
        <f>""&amp;$B$2&amp;" ppm"</f>
        <v>Bi ppm</v>
      </c>
      <c r="H1" s="38" t="str">
        <f>""&amp;$B$2&amp;" Signal"</f>
        <v>Bi Signal</v>
      </c>
      <c r="I1" s="39"/>
      <c r="J1" s="39"/>
      <c r="K1" s="85" t="s">
        <v>29</v>
      </c>
      <c r="L1" s="47" t="s">
        <v>75</v>
      </c>
      <c r="M1" s="92" cm="1">
        <f t="array" aca="1" ref="M1" ca="1">INDIRECT("H"&amp;(MATCH(1,E2:E8,0)+1)&amp;"")</f>
        <v>0</v>
      </c>
      <c r="N1" s="39"/>
      <c r="O1" s="39"/>
      <c r="P1" s="40" t="s">
        <v>30</v>
      </c>
      <c r="Q1" s="47" t="s">
        <v>75</v>
      </c>
      <c r="R1" s="87" cm="1">
        <f t="array" aca="1" ref="R1" ca="1">INDIRECT("H"&amp;(MATCH(2,E2:E8,0)+1)&amp;"")</f>
        <v>0</v>
      </c>
    </row>
    <row r="2" spans="1:18" ht="20" customHeight="1" thickBot="1" x14ac:dyDescent="0.3">
      <c r="A2" s="162"/>
      <c r="B2" s="43" t="s">
        <v>18</v>
      </c>
      <c r="C2" s="31"/>
      <c r="D2" s="79"/>
      <c r="E2" s="79"/>
      <c r="F2" s="80" t="s">
        <v>19</v>
      </c>
      <c r="G2" s="81">
        <f>HLOOKUP($B$2,Caldat!$AC$1:$AT$8,ROW(F2),FALSE)</f>
        <v>0</v>
      </c>
      <c r="H2" s="82">
        <f>IFERROR(VLOOKUP($B$2,Caldat!A$2:C$38,2,FALSE),0)</f>
        <v>0</v>
      </c>
      <c r="I2" s="39"/>
      <c r="J2" s="39"/>
      <c r="K2" s="39"/>
      <c r="L2" s="48" t="s">
        <v>76</v>
      </c>
      <c r="M2" s="86" cm="1">
        <f t="array" aca="1" ref="M2" ca="1">INDIRECT("H"&amp;(MATCH(1,E2:E8,1)+1)&amp;"")</f>
        <v>0</v>
      </c>
      <c r="N2" s="39"/>
      <c r="O2" s="39"/>
      <c r="P2" s="39"/>
      <c r="Q2" s="48" t="s">
        <v>76</v>
      </c>
      <c r="R2" s="86" cm="1">
        <f t="array" aca="1" ref="R2" ca="1">INDIRECT("H"&amp;(MATCH(2,E2:E8,1)+1)&amp;"")</f>
        <v>0</v>
      </c>
    </row>
    <row r="3" spans="1:18" ht="20" customHeight="1" x14ac:dyDescent="0.2">
      <c r="A3" s="35" t="s">
        <v>48</v>
      </c>
      <c r="B3" s="91" t="str">
        <f ca="1">IF(M7&lt;B5,"—",IF(M3&lt;M2,M7,IF(M3&lt;R1,((M3-M2)/(R1-M2))*R7+(1-((M3-M2)/(R1-M2)))*M7,R7)))</f>
        <v>—</v>
      </c>
      <c r="C3" s="32"/>
      <c r="D3" s="167" t="s">
        <v>79</v>
      </c>
      <c r="E3" s="95">
        <v>1</v>
      </c>
      <c r="F3" s="76" t="s">
        <v>20</v>
      </c>
      <c r="G3" s="103">
        <f>HLOOKUP($B$2,Caldat!$AC$1:$AT$8,ROW(F3),FALSE)</f>
        <v>10.071980699999999</v>
      </c>
      <c r="H3" s="104">
        <f>VLOOKUP($B$2,Caldat!D$2:F$38,2,FALSE)</f>
        <v>0</v>
      </c>
      <c r="I3" s="39"/>
      <c r="J3" s="39"/>
      <c r="K3" s="39"/>
      <c r="L3" s="47" t="s">
        <v>28</v>
      </c>
      <c r="M3" s="83" t="str">
        <f>IFERROR(VLOOKUP($B$2,Samdat!$A$4:$B$50,2,FALSE),"—")</f>
        <v>—</v>
      </c>
      <c r="N3" s="33"/>
      <c r="O3" s="33"/>
      <c r="P3" s="33"/>
      <c r="Q3" s="47" t="s">
        <v>28</v>
      </c>
      <c r="R3" s="83" t="str">
        <f>M3</f>
        <v>—</v>
      </c>
    </row>
    <row r="4" spans="1:18" ht="20" customHeight="1" thickBot="1" x14ac:dyDescent="0.25">
      <c r="A4" s="36" t="s">
        <v>49</v>
      </c>
      <c r="B4" s="61" t="str">
        <f ca="1">IF(M7&lt;B5,"Not Significant",IF(M3&lt;M1,"Low Signal",IF(M3&lt;M2,"In Range",IF(M3&lt;R2,"In Range",IF(M3&lt;&gt;"—","High Signal","No Signal")))))</f>
        <v>No Signal</v>
      </c>
      <c r="C4" s="31"/>
      <c r="D4" s="167"/>
      <c r="E4" s="95">
        <v>1</v>
      </c>
      <c r="F4" s="51" t="s">
        <v>21</v>
      </c>
      <c r="G4" s="52">
        <f>HLOOKUP($B$2,Caldat!$AC$1:$AT$8,ROW(F4),FALSE)</f>
        <v>18.363056499999999</v>
      </c>
      <c r="H4" s="67">
        <f>VLOOKUP($B$2,Caldat!G$2:I$36,2,FALSE)</f>
        <v>0</v>
      </c>
      <c r="J4" s="39"/>
      <c r="K4" s="39"/>
      <c r="L4" s="48" t="s">
        <v>77</v>
      </c>
      <c r="M4" s="62">
        <f ca="1">SLOPE(INDIRECT("H"&amp;(MATCH(1,E2:E8,0)+1)&amp;":H"&amp;(MATCH(1,E2:E8,1)+1)&amp;""),INDIRECT("G"&amp;(MATCH(1,E2:E8,0)+1)&amp;":G"&amp;(MATCH(1,E2:E8,1)+1)&amp;""))</f>
        <v>0</v>
      </c>
      <c r="N4" s="39"/>
      <c r="O4" s="39"/>
      <c r="P4" s="39"/>
      <c r="Q4" s="48" t="s">
        <v>77</v>
      </c>
      <c r="R4" s="62">
        <f ca="1">SLOPE(INDIRECT("H"&amp;(MATCH(2,E2:E8,0)+1)&amp;":H"&amp;(MATCH(2,E2:E8,1)+1)&amp;""),INDIRECT("G"&amp;(MATCH(2,E2:E8,0)+1)&amp;":G"&amp;(MATCH(2,E2:E8,1)+1)&amp;""))</f>
        <v>0</v>
      </c>
    </row>
    <row r="5" spans="1:18" ht="20" customHeight="1" thickBot="1" x14ac:dyDescent="0.25">
      <c r="A5" s="35" t="s">
        <v>71</v>
      </c>
      <c r="B5" s="60">
        <f>VLOOKUP(B2,Caldat!$W$2:$Y$38,2,FALSE)</f>
        <v>10</v>
      </c>
      <c r="D5" s="168"/>
      <c r="E5" s="96">
        <v>1</v>
      </c>
      <c r="F5" s="58" t="s">
        <v>22</v>
      </c>
      <c r="G5" s="59">
        <f>HLOOKUP($B$2,Caldat!$AC$1:$AT$8,ROW(F5),FALSE)</f>
        <v>36.61036</v>
      </c>
      <c r="H5" s="68">
        <f>VLOOKUP($B$2,Caldat!J$2:L$34,2,FALSE)</f>
        <v>0</v>
      </c>
      <c r="I5" s="39"/>
      <c r="J5" s="39"/>
      <c r="K5" s="39"/>
      <c r="L5" s="48" t="s">
        <v>26</v>
      </c>
      <c r="M5" s="62">
        <f ca="1">INTERCEPT(INDIRECT("H"&amp;(MATCH(1,E2:E8,0)+1)&amp;":H"&amp;(MATCH(1,E2:E8,1)+1)&amp;""),INDIRECT("G"&amp;(MATCH(1,E2:E8,0)+1)&amp;":G"&amp;(MATCH(1,E2:E8,1)+1)&amp;""))</f>
        <v>0</v>
      </c>
      <c r="N5" s="39"/>
      <c r="O5" s="39"/>
      <c r="P5" s="39"/>
      <c r="Q5" s="48" t="s">
        <v>26</v>
      </c>
      <c r="R5" s="62">
        <f ca="1">INTERCEPT(INDIRECT("H"&amp;(MATCH(2,E2:E8,0)+1)&amp;":H"&amp;(MATCH(2,E2:E8,1)+1)&amp;""),INDIRECT("G"&amp;(MATCH(2,E2:E8,0)+1)&amp;":G"&amp;(MATCH(2,E2:E8,1)+1)&amp;""))</f>
        <v>0</v>
      </c>
    </row>
    <row r="6" spans="1:18" ht="20" customHeight="1" thickBot="1" x14ac:dyDescent="0.25">
      <c r="A6" s="36" t="s">
        <v>72</v>
      </c>
      <c r="B6" s="61">
        <f>ROUND(B5/3,2)</f>
        <v>3.33</v>
      </c>
      <c r="D6" s="163" t="s">
        <v>80</v>
      </c>
      <c r="E6" s="97">
        <v>2</v>
      </c>
      <c r="F6" s="53" t="s">
        <v>23</v>
      </c>
      <c r="G6" s="54">
        <f>HLOOKUP($B$2,Caldat!$AC$1:$AT$8,ROW(F6),FALSE)</f>
        <v>73.501311099999995</v>
      </c>
      <c r="H6" s="67">
        <f>VLOOKUP($B$2,Caldat!M$2:O$36,2,FALSE)</f>
        <v>0</v>
      </c>
      <c r="I6" s="39"/>
      <c r="J6" s="39"/>
      <c r="K6" s="39"/>
      <c r="L6" s="63" t="s">
        <v>78</v>
      </c>
      <c r="M6" s="64" t="e">
        <f ca="1">RSQ(INDIRECT("H"&amp;(MATCH(1,E2:E8,0)+1)&amp;":H"&amp;(MATCH(1,E2:E8,1)+1)&amp;""),INDIRECT("G"&amp;(MATCH(1,E2:E8,0)+1)&amp;":G"&amp;(MATCH(1,E2:E8,1)+1)&amp;""))</f>
        <v>#DIV/0!</v>
      </c>
      <c r="N6" s="41"/>
      <c r="O6" s="39"/>
      <c r="P6" s="39"/>
      <c r="Q6" s="63" t="s">
        <v>78</v>
      </c>
      <c r="R6" s="64" t="e">
        <f ca="1">RSQ(INDIRECT("H"&amp;(MATCH(2,E2:E8,0)+1)&amp;":H"&amp;(MATCH(2,E2:E8,1)+1)&amp;""),INDIRECT("G"&amp;(MATCH(2,E2:E8,0)+1)&amp;":G"&amp;(MATCH(2,E2:E8,1)+1)&amp;""))</f>
        <v>#DIV/0!</v>
      </c>
    </row>
    <row r="7" spans="1:18" ht="20" customHeight="1" thickBot="1" x14ac:dyDescent="0.25">
      <c r="D7" s="164"/>
      <c r="E7" s="98">
        <v>2</v>
      </c>
      <c r="F7" s="53" t="s">
        <v>24</v>
      </c>
      <c r="G7" s="54">
        <f>HLOOKUP($B$2,Caldat!$AC$1:$AT$8,ROW(F7),FALSE)</f>
        <v>108.889031</v>
      </c>
      <c r="H7" s="67">
        <f>VLOOKUP($B$2,Caldat!P$2:R$32,2,FALSE)</f>
        <v>0</v>
      </c>
      <c r="I7" s="39"/>
      <c r="J7" s="39"/>
      <c r="K7" s="39"/>
      <c r="L7" s="65" t="s">
        <v>27</v>
      </c>
      <c r="M7" s="84" t="str">
        <f ca="1">IFERROR((M3-M5)/M4,"—")</f>
        <v>—</v>
      </c>
      <c r="N7" s="33"/>
      <c r="O7" s="33"/>
      <c r="P7" s="33"/>
      <c r="Q7" s="65" t="s">
        <v>27</v>
      </c>
      <c r="R7" s="84" t="str">
        <f ca="1">IFERROR((R3-R5)/R4,"—")</f>
        <v>—</v>
      </c>
    </row>
    <row r="8" spans="1:18" ht="20" customHeight="1" thickBot="1" x14ac:dyDescent="0.25">
      <c r="D8" s="165"/>
      <c r="E8" s="99">
        <v>2</v>
      </c>
      <c r="F8" s="55" t="s">
        <v>25</v>
      </c>
      <c r="G8" s="107">
        <f>HLOOKUP($B$2,Caldat!$AC$1:$AT$8,ROW(F8),FALSE)</f>
        <v>145.30533299999999</v>
      </c>
      <c r="H8" s="75">
        <f>VLOOKUP($B$2,Caldat!S$2:U$29,2,FALSE)</f>
        <v>0</v>
      </c>
      <c r="I8" s="39"/>
      <c r="J8" s="39"/>
      <c r="K8" s="39"/>
      <c r="M8" s="33"/>
      <c r="O8" s="33"/>
      <c r="P8" s="33"/>
      <c r="Q8" s="33"/>
      <c r="R8" s="33"/>
    </row>
  </sheetData>
  <mergeCells count="3">
    <mergeCell ref="A1:A2"/>
    <mergeCell ref="D3:D5"/>
    <mergeCell ref="D6:D8"/>
  </mergeCells>
  <pageMargins left="0.7" right="0.7" top="0.75" bottom="0.75" header="0.3" footer="0.3"/>
  <pageSetup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A50A30-8D1E-4013-A5EE-C34EB3B199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Samdat</vt:lpstr>
      <vt:lpstr>Caldat</vt:lpstr>
      <vt:lpstr>K</vt:lpstr>
      <vt:lpstr>Ca</vt:lpstr>
      <vt:lpstr>V</vt:lpstr>
      <vt:lpstr>Cr</vt:lpstr>
      <vt:lpstr>Mn</vt:lpstr>
      <vt:lpstr>Fe</vt:lpstr>
      <vt:lpstr>Co</vt:lpstr>
      <vt:lpstr>Ni</vt:lpstr>
      <vt:lpstr>Cu</vt:lpstr>
      <vt:lpstr>Zn</vt:lpstr>
      <vt:lpstr>Ga</vt:lpstr>
      <vt:lpstr>Rb</vt:lpstr>
      <vt:lpstr>Sr</vt:lpstr>
      <vt:lpstr>Mo</vt:lpstr>
      <vt:lpstr>Cd</vt:lpstr>
      <vt:lpstr>Tl</vt:lpstr>
      <vt:lpstr>Pb</vt:lpstr>
      <vt:lpstr>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Carino</dc:creator>
  <cp:lastModifiedBy>Jamie Santiago</cp:lastModifiedBy>
  <dcterms:created xsi:type="dcterms:W3CDTF">2024-01-19T00:57:38Z</dcterms:created>
  <dcterms:modified xsi:type="dcterms:W3CDTF">2026-07-17T19:26:10Z</dcterms:modified>
</cp:coreProperties>
</file>